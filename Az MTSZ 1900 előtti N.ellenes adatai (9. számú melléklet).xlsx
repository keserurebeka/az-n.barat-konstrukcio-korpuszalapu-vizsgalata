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DC7E6ACE-6A02-452A-985C-3C31AC410AD7}" xr6:coauthVersionLast="47" xr6:coauthVersionMax="47" xr10:uidLastSave="{00000000-0000-0000-0000-000000000000}"/>
  <bookViews>
    <workbookView xWindow="-108" yWindow="-108" windowWidth="23256" windowHeight="12456" xr2:uid="{39503ED2-C025-4D5D-AE50-68C3985038E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3" i="1"/>
  <c r="J12" i="1"/>
  <c r="J11" i="1"/>
  <c r="J8" i="1"/>
  <c r="J7" i="1"/>
</calcChain>
</file>

<file path=xl/sharedStrings.xml><?xml version="1.0" encoding="utf-8"?>
<sst xmlns="http://schemas.openxmlformats.org/spreadsheetml/2006/main" count="825" uniqueCount="438">
  <si>
    <t>1830,Horváth József</t>
  </si>
  <si>
    <t>betegség ' szokott folyamatját a ' rosz magatartás vagy</t>
  </si>
  <si>
    <t>czélellenes</t>
  </si>
  <si>
    <t>velebánás nem háborítja , akkor a ' történetek aprónként</t>
  </si>
  <si>
    <t>vesz észre : tartsa magát mennél csendesebben , és</t>
  </si>
  <si>
    <t>gyúladásellenes</t>
  </si>
  <si>
    <t>életrendet kövessen . Valamelly híves , zsemlyebélből</t>
  </si>
  <si>
    <t>villanyosítja meg a ' másikat , akkor főhatást csak az</t>
  </si>
  <si>
    <t>átellenes</t>
  </si>
  <si>
    <t>oldalra tesz , ezt ellenkező villanyuvá változtatva</t>
  </si>
  <si>
    <t>electropolar ) állapotban van , C tagadó villanyu sarka</t>
  </si>
  <si>
    <t>lévén a ' D tevő villanyu sarkval . Illyen készületet</t>
  </si>
  <si>
    <t>1842,Kecskeméthy Csapó Dániel</t>
  </si>
  <si>
    <t>' használatlan lefolyt időnek sajnálása , vagy a '</t>
  </si>
  <si>
    <t>élet ' bánása , a ' közel haláltóli félelem , teszik</t>
  </si>
  <si>
    <t>1842,Madách Imre</t>
  </si>
  <si>
    <t>zokogás , majd düh kitöresei hasíták meg a csendet . Az</t>
  </si>
  <si>
    <t>ház mindíg nyugodtnak látszott , - ki tudja , azok</t>
  </si>
  <si>
    <t>1843,Kemény Zsigmond</t>
  </si>
  <si>
    <t>, hogy a tagok a közgyülés ' hozandó szabályainak</t>
  </si>
  <si>
    <t>törvényellenes</t>
  </si>
  <si>
    <t>kérdésekben is vakon engedelmeskednek ; az igazgatók</t>
  </si>
  <si>
    <t>1845,Irinyi József</t>
  </si>
  <si>
    <t>felfüggesztheti a ' kormány ' rendeleteinek végrehajtásában .</t>
  </si>
  <si>
    <t>Rendellenes</t>
  </si>
  <si>
    <t>elv mindig , de ministeri kormány alatt szükségtelen</t>
  </si>
  <si>
    <t>1845,Szemere Bertalan</t>
  </si>
  <si>
    <t>szegény magyar nemzet ! És ez egyesült alkotmány s</t>
  </si>
  <si>
    <t>nemzetellenes</t>
  </si>
  <si>
    <t>törekvésnek ki a legnagyobb előmozditója ? A clerus</t>
  </si>
  <si>
    <t>1846,Bajza József</t>
  </si>
  <si>
    <t>mellett is sokszor leszen az idegenszerű , sőt még</t>
  </si>
  <si>
    <t>is , észrevehető . Sokkal veszélyesebb és jellemferdítőbb</t>
  </si>
  <si>
    <t>gondolatban , érzésben teljesen nem-magyar vagy épen</t>
  </si>
  <si>
    <t>magyarellenes</t>
  </si>
  <si>
    <t>társalgási teremek , s ott keresi rendeltetésének</t>
  </si>
  <si>
    <t>1846,Kovács Pál</t>
  </si>
  <si>
    <t>komáromi vizkármentő társaságnál , ' s tanulj uszni , és</t>
  </si>
  <si>
    <t>vizellenes</t>
  </si>
  <si>
    <t>öltönyökkel bőven ellásd magad ! Ha pedig javaidra</t>
  </si>
  <si>
    <t>1846,Táncsics Mihály</t>
  </si>
  <si>
    <t>lakunk . És mi mindnyájan nézhetnők , mint tennék</t>
  </si>
  <si>
    <t>alkotmányellenes</t>
  </si>
  <si>
    <t>emberek e hazát tönkre ? Nem , ezt nem fogjuk engedni</t>
  </si>
  <si>
    <t>eleinte csupán nincs alkotmányos szellem , később</t>
  </si>
  <si>
    <t>fejlődik ki . Ennek körülményeink közt természetsen</t>
  </si>
  <si>
    <t>császári czimen gyermeki szeretettel függnek , s bennök</t>
  </si>
  <si>
    <t>szellem fejlett ki . Tegyük , hogy apostoli Felséges</t>
  </si>
  <si>
    <t>1847,Peregriny Elek</t>
  </si>
  <si>
    <t>felálló , majd egy lábnyi magas szárral , melly fölül</t>
  </si>
  <si>
    <t>ágakká oszlik ; setétzöld levelei tojásdad hosszak</t>
  </si>
  <si>
    <t>1847,Schöpf-Merei Ágoston</t>
  </si>
  <si>
    <t>vagy nagyon keskeny s fölül domboru s a t . , melly</t>
  </si>
  <si>
    <t>rendellenes</t>
  </si>
  <si>
    <t>idomok mind leggyakrabban görvélyes hajlamu gyermekeknél</t>
  </si>
  <si>
    <t>forróbb fejt s étvágyhiányt nyilvánítnak . Ha illy</t>
  </si>
  <si>
    <t>állapot szembetünő , hánytatót adunk , s ez által</t>
  </si>
  <si>
    <t>Dei ! 7 ) Az oltás a következő környülállások alatt</t>
  </si>
  <si>
    <t>, betvegytermő lefolyást vett : a ) ha az oltott</t>
  </si>
  <si>
    <t>leletet minden agyvízkór természetére kiterjeszteni -</t>
  </si>
  <si>
    <t>tényellenes</t>
  </si>
  <si>
    <t>túlság . A mint egyébként a másodlagos agyvízkór</t>
  </si>
  <si>
    <t>agyvízkórról - illy erőhiányos bélyegü kórkép ellen</t>
  </si>
  <si>
    <t>lobellenes</t>
  </si>
  <si>
    <t>móddal lépne föl ; a mi egyébként Marschal Hall saját</t>
  </si>
  <si>
    <t>Szív rendes . - A hasüreg életművei között kitünő</t>
  </si>
  <si>
    <t>állapot nem tapasztaltatott ; a savhártya ( ámbár</t>
  </si>
  <si>
    <t>1847,Vas Gereben</t>
  </si>
  <si>
    <t>legény volt , innét kitalálható aztán , hogy a jó ur az</t>
  </si>
  <si>
    <t>szomszéd házon , nem annyira a kedélyesen hintálódzó</t>
  </si>
  <si>
    <t>1847,Vasvári Pál</t>
  </si>
  <si>
    <t>bitangokból álló zsoldos csoport , mely idegen célok</t>
  </si>
  <si>
    <t>honellenes</t>
  </si>
  <si>
    <t>eszközeivé alacsonyuljon . Ezért írta ő dörgedelmes</t>
  </si>
  <si>
    <t>1848,Benczúr János</t>
  </si>
  <si>
    <t>Rousseau , fejtegetvén , miszerint az illyen cselekvény</t>
  </si>
  <si>
    <t>jogellenes</t>
  </si>
  <si>
    <t>és semmis már csak azért is , mert a ' ki teszi ,</t>
  </si>
  <si>
    <t>1848,Bernát Gáspár</t>
  </si>
  <si>
    <t>térdelve imádja a fölkelő napot a leomló vérteket ; mig</t>
  </si>
  <si>
    <t>tűzfalczimborája tárt kebellel öleli a nyugati fergeteget</t>
  </si>
  <si>
    <t>1848,Petőfi Sándor</t>
  </si>
  <si>
    <t>alkudozzam Ama kézművesekkel ujra . Azt se Mondd , hogy</t>
  </si>
  <si>
    <t>természetellenes</t>
  </si>
  <si>
    <t>vagyok . Ne Kivánd dühöm s boszúmat csillapítni Higgadt</t>
  </si>
  <si>
    <t>1849,Szemere Bertalan</t>
  </si>
  <si>
    <t>és 200 , 000 katonát . És kijelentette , hogy a mi</t>
  </si>
  <si>
    <t>pártoskodás Horvátországban történik , azt kárhoztatja</t>
  </si>
  <si>
    <t>1851,Pákh Albert</t>
  </si>
  <si>
    <t>mindennemü árkaival . Lelki kéjencznek tartám a költőket ;</t>
  </si>
  <si>
    <t>temészetellenes</t>
  </si>
  <si>
    <t>, tulfeszitett dolognak a költészetet . Irtóztam</t>
  </si>
  <si>
    <t>1853,Andrássy Manó</t>
  </si>
  <si>
    <t>kánforfából készült ládára , melly utra igen alkalmas , mert</t>
  </si>
  <si>
    <t>molyellenes</t>
  </si>
  <si>
    <t>. Legalább nyolczat kelle megvennem : mert a belé</t>
  </si>
  <si>
    <t>1853,Samarjay Károly</t>
  </si>
  <si>
    <t>lélek is elpuhultabb és komorabb lőn , s a képzerő</t>
  </si>
  <si>
    <t>képeket teremte . Az indok és egyptomiaknál a hangászat</t>
  </si>
  <si>
    <t>használhassa . Kerülje a merev szögletességet , a</t>
  </si>
  <si>
    <t>czifra taglejtést és a kezekkeli hadarászást . Álljon</t>
  </si>
  <si>
    <t>1854,Ujfalvy Sándor</t>
  </si>
  <si>
    <t>elhagyva beljebb ereszkedtek , nem vette észre , de mint</t>
  </si>
  <si>
    <t>vadász-ellenes</t>
  </si>
  <si>
    <t>tettet , legtávolabbról sem gyanítá . Azért nagyon</t>
  </si>
  <si>
    <t>1854,Vörösmarty Mihály</t>
  </si>
  <si>
    <t>róla . Vétsége , úgy hiszem , Olly nagy lehet ' s</t>
  </si>
  <si>
    <t>, hogy Vagy ő a ' szörny , vagy korábban hírdetett</t>
  </si>
  <si>
    <t>1855 e.,Teleki József</t>
  </si>
  <si>
    <t>ezeknek igen nagy része épen olly határozatlan mint</t>
  </si>
  <si>
    <t>, és a pörlekedő megnyugtatását épen olly kevessé</t>
  </si>
  <si>
    <t>1855,Benkő Dániel</t>
  </si>
  <si>
    <t>alig lehet a borju fekvését kivenni , különösen ha az</t>
  </si>
  <si>
    <t>. Ez esetben a borjut egész erővel kell kihuzni ,</t>
  </si>
  <si>
    <t>eladjuk , vagy rostának használhatjuk . 81 . Â§ . A</t>
  </si>
  <si>
    <t>nehéz ellésnél alkalmazni szokott segitség körűl</t>
  </si>
  <si>
    <t>megfeledkezni , mi e kétséges időszakban igen jó táplálék és</t>
  </si>
  <si>
    <t>láz-ellenes</t>
  </si>
  <si>
    <t>szer . Semmiesetre sem kell a tehénnek szorulást</t>
  </si>
  <si>
    <t>1855,Győry Vilmos</t>
  </si>
  <si>
    <t>asszonya , Boórfalvi Péterné . A nagy mozaik asztal</t>
  </si>
  <si>
    <t>részén halvány arcú , magát feszes nyájassággal forgató</t>
  </si>
  <si>
    <t>1858 e.,Mészáros Lázár</t>
  </si>
  <si>
    <t>először itt történt , s itt keletkezett valamely titkos</t>
  </si>
  <si>
    <t>magyar-ellenes</t>
  </si>
  <si>
    <t>szövetség által felingerelt roszakarat , mi az azelőtti</t>
  </si>
  <si>
    <t>önálló vezényletre még nem vala alkalmas . Gondatlan s</t>
  </si>
  <si>
    <t>parancsellenes</t>
  </si>
  <si>
    <t>portyázása és csatározása miatt következett be megveretése</t>
  </si>
  <si>
    <t>1858,Mocsáry Lajos</t>
  </si>
  <si>
    <t>Ázsiának jövendőjét is , mint az orosz nagyravágyás ' s</t>
  </si>
  <si>
    <t>műveltségellenes</t>
  </si>
  <si>
    <t>szellem , - ez való és közelálló veszély , ez ellen</t>
  </si>
  <si>
    <t>1858,Osztróvszky József</t>
  </si>
  <si>
    <t>társulati kiküldött tévedésből túlbecsülvén a kárt ,</t>
  </si>
  <si>
    <t>lelkiismeret-ellenes</t>
  </si>
  <si>
    <t>cselekedetnek tartaná-e a jog szerint őt nem illető</t>
  </si>
  <si>
    <t>1859,Petheő Dénes</t>
  </si>
  <si>
    <t>szeretnek használni ; - ez pedig oly valami rut és</t>
  </si>
  <si>
    <t>szabályellenes</t>
  </si>
  <si>
    <t>, hogy minden áron mellőzni kell . Ha lábszár helyett</t>
  </si>
  <si>
    <t>1860-1865,Arany János</t>
  </si>
  <si>
    <t>felváltva négy ablakból vethetett haragos szemeket az</t>
  </si>
  <si>
    <t>jegyzői lakra . Mosolygasz , nyájas olvasó ? a hiúság</t>
  </si>
  <si>
    <t>1861,Dósa Elek</t>
  </si>
  <si>
    <t>meg nem egyeztethető parancsai , sem mások által ; a</t>
  </si>
  <si>
    <t>fejedelmi parancsokat a törvényszékek el nem fogadhatván</t>
  </si>
  <si>
    <t>1861,Jámbor Pál</t>
  </si>
  <si>
    <t>Azértnyugalom és bátorság ! Jöhet provisorium , azaz</t>
  </si>
  <si>
    <t>kormány idegen rendőrökkel , idegen törvényekkel</t>
  </si>
  <si>
    <t>1861,Lengyel Dániel</t>
  </si>
  <si>
    <t>egyszerü kanyarónál e mellett egyéb nem kell , mint</t>
  </si>
  <si>
    <t>életmód , lágyító főzetek bő itala , s végre egy</t>
  </si>
  <si>
    <t>egyszerű kanyarónál , az általános életrend mellett egy</t>
  </si>
  <si>
    <t>izzasztó szerre van szükség a 63 . sz . alatti vény</t>
  </si>
  <si>
    <t>bőrizgató szerek , belsőleg pedig a 30 . sz . alatti</t>
  </si>
  <si>
    <t>vegyiték által meg kell először szüntetni , azután</t>
  </si>
  <si>
    <t>nem kiván egyebet mint folytonos melegben tartást ,</t>
  </si>
  <si>
    <t>életrendet , s hűsítő hashajtókat az 5 . sz . alatti</t>
  </si>
  <si>
    <t>idézhet elő . Itt is a fennebbi izzasztó s hashajtó</t>
  </si>
  <si>
    <t>szerek tesznek jót , párosítva meleg fürdőkkel ;</t>
  </si>
  <si>
    <t>Ilyenkor is a fő betegséget kell először gyógyítni</t>
  </si>
  <si>
    <t>rühellenes</t>
  </si>
  <si>
    <t>szerek vegyületében . Makacsabb s vegyültebb esetekben</t>
  </si>
  <si>
    <t>ezen okok közül egyet sem lehet fölfedezni , akkor</t>
  </si>
  <si>
    <t>sömör-ellenes</t>
  </si>
  <si>
    <t>gyógymódra van szükség , mely vértisztító s másító</t>
  </si>
  <si>
    <t>gyomortisztátalanságnál hánytatók vagy hashajtók , vérbőségnél</t>
  </si>
  <si>
    <t>életrend , néha vérbocsátás , senyveknél azok elleni</t>
  </si>
  <si>
    <t>miután a legtöbb veszélyt itt gyuladás okozhatja ,</t>
  </si>
  <si>
    <t>gyógymódot kell követni , mely lobellenes életrendből</t>
  </si>
  <si>
    <t>okozhatja , lobellenes gyógymódot kell követni , mely</t>
  </si>
  <si>
    <t>életrendből s lobellenes szerekből áll . Ez okból</t>
  </si>
  <si>
    <t>gyógymódot kell követni , mely lobellenes életrendből s</t>
  </si>
  <si>
    <t>szerekből áll . Ez okból a beteg kerüljön mindent</t>
  </si>
  <si>
    <t>vények szerint . A bujakóros jellem megsemmisítésére</t>
  </si>
  <si>
    <t>bujakórellenes</t>
  </si>
  <si>
    <t>szereket adni nem szükséges , mert ez a betegség</t>
  </si>
  <si>
    <t>sőt fene is lehetnek következései . A fitymaszükülés</t>
  </si>
  <si>
    <t>gyógymódot kiván , de kisebb fokánál a lobellenes</t>
  </si>
  <si>
    <t>lobellenes gyógymódot kiván , de kisebb fokánál a</t>
  </si>
  <si>
    <t>életrend s a monynak lágyitó főzetekben való fürösztése</t>
  </si>
  <si>
    <t>Ilyenkor a beteget mérsékelt meleg ágyba fektetvén , neki</t>
  </si>
  <si>
    <t>életrend mellett italul lagyító főzeteket kell adni</t>
  </si>
  <si>
    <t>gyuladásba , rákba sőt fenébe megy át . Gyógyítása</t>
  </si>
  <si>
    <t>gyógymódot kivánván , a beteget le kell fektetni</t>
  </si>
  <si>
    <t>1861,Mátray Gábor</t>
  </si>
  <si>
    <t>fejfájás ; szempilláktól félig fedett borús szemek ;</t>
  </si>
  <si>
    <t>kedv-ellenes</t>
  </si>
  <si>
    <t>lassú mozgás , hang és beszéd ; olvadékony s lassú</t>
  </si>
  <si>
    <t>1862,Csemegi Károly</t>
  </si>
  <si>
    <t>. Az ily büntetés nem csak törvénynélküli , hanem</t>
  </si>
  <si>
    <t>törvény-ellenes</t>
  </si>
  <si>
    <t>, melyet jog nem szentesit , az állameszme és intézményei</t>
  </si>
  <si>
    <t>, a birodalom területén a helyzet nehézségeit ily</t>
  </si>
  <si>
    <t>és ingerlő elmélettel növeli , az - hogy többet ne</t>
  </si>
  <si>
    <t>1862,Fáy András</t>
  </si>
  <si>
    <t>körül - a helyre nem emlékezem - az építéshez hazai</t>
  </si>
  <si>
    <t>meszet ( hydraulischer Kalk ) fedezett fel , melyet</t>
  </si>
  <si>
    <t>1862,Vajda János</t>
  </si>
  <si>
    <t>valódi legmélyebb ok saját népegyéni természetünkben ,</t>
  </si>
  <si>
    <t>ujtársadalom-ellenes</t>
  </si>
  <si>
    <t>, polgáriatlan , nomád erkölcseinkben rejlik , melyekből</t>
  </si>
  <si>
    <t>, hogy a képviselőház által máj . 22-én kimondott</t>
  </si>
  <si>
    <t>elvek a királyi tekintélylyel szemben érvényesittessenek</t>
  </si>
  <si>
    <t>1863,Dalmady Győző</t>
  </si>
  <si>
    <t>hozhat , mi is megtehetünk annyit , hogy a zsidók</t>
  </si>
  <si>
    <t>helyzetét legalább a társadalmi egyenlőség elismerésével</t>
  </si>
  <si>
    <t>1863,Lauka Gusztáv</t>
  </si>
  <si>
    <t>történt , mert ezen hivatal , bár nagyon szükséges ,</t>
  </si>
  <si>
    <t>volt . Maga az eljárás is kellőleg igazolta , mit</t>
  </si>
  <si>
    <t>1865,Lauka Gusztáv</t>
  </si>
  <si>
    <t>mint a hajdani király junius 20 . és augustus 10-ki</t>
  </si>
  <si>
    <t>szabadságellenes</t>
  </si>
  <si>
    <t>működéseinek bűnrészese ; de Lamotte de Senoues Péter</t>
  </si>
  <si>
    <t>1867,Rákosi Jenő</t>
  </si>
  <si>
    <t>Imre király jön párthiveivel . ) Imre . : A harcz</t>
  </si>
  <si>
    <t>trmészetellenes</t>
  </si>
  <si>
    <t>, hol testvér Testvért vezet testvérek ellen ; A</t>
  </si>
  <si>
    <t>1868,Eötvös József</t>
  </si>
  <si>
    <t>valaki a tanszbadságot arra akarná használni , hogy</t>
  </si>
  <si>
    <t>elveket terjesszen , ha valaki azért tanítaná olvasni</t>
  </si>
  <si>
    <t>1869,Orbán Balázs</t>
  </si>
  <si>
    <t>gyülésen alkotmányra esküt tett , most azonban Csíkban</t>
  </si>
  <si>
    <t>hazaellenes</t>
  </si>
  <si>
    <t>állást foglalt Dorschnert hivatalától felfüggeszti</t>
  </si>
  <si>
    <t>1869,Toldy István</t>
  </si>
  <si>
    <t>de szabályosságukból kivéve , eltorzítva ; szemében</t>
  </si>
  <si>
    <t>tűz lángolt , s tekintete oly lidércfényű , oly kísérteties</t>
  </si>
  <si>
    <t>1871,Orbán Balázs</t>
  </si>
  <si>
    <t>vidékeknek eloláhositása lett az ily lelkiismeret- és</t>
  </si>
  <si>
    <t>eljárásnak gyászos következménye . A fennebb felhozottak</t>
  </si>
  <si>
    <t>1871,Rákosi Jenő</t>
  </si>
  <si>
    <t>. Oh jaj nekem . ( el . Klára követi . ) Jagel . :</t>
  </si>
  <si>
    <t>Természetellenes</t>
  </si>
  <si>
    <t>történet ez ! De még a vége nincsen elbeszélve ,</t>
  </si>
  <si>
    <t>1872,Tóvölgyi Titusz</t>
  </si>
  <si>
    <t>jobboldaliakból alakitott összeiró bizottságnak pártos és</t>
  </si>
  <si>
    <t>eljárását , mely szerint ez több mint száz jogosult</t>
  </si>
  <si>
    <t>veszszük , hogy Egerben a papok az ő önző , szabadság- és</t>
  </si>
  <si>
    <t>népellenes</t>
  </si>
  <si>
    <t>czéljaik szolgálatára három lapot tartanak fenn ,</t>
  </si>
  <si>
    <t>1873,Orbán Balázs</t>
  </si>
  <si>
    <t>inscribált Szúnyogszeg és Vledénynyel is , a mely</t>
  </si>
  <si>
    <t>beolvasztással a kezdetben nagyon csekély terjedelmű</t>
  </si>
  <si>
    <t>, malom , korcsmárlási dézsma és más javadalmainak</t>
  </si>
  <si>
    <t>lefoglaltatása Brassó által ; történetének tovább</t>
  </si>
  <si>
    <t>nép szabadsága ellen elkövetett durva merénylet s</t>
  </si>
  <si>
    <t>hatalmaskodás eredménye . Az előadottakból kiviláglik</t>
  </si>
  <si>
    <t>kiviláglik , hogy a tiz magyar falu népe ily törvény- és</t>
  </si>
  <si>
    <t>emberiségellenes</t>
  </si>
  <si>
    <t>letiportatása , s kisajtoltatása ellen folytonosan</t>
  </si>
  <si>
    <t>ildomtalanság és igazságtalanság , hanem nemzet- és</t>
  </si>
  <si>
    <t>bűn lenne , annyival inkább , mert e nép minden időben</t>
  </si>
  <si>
    <t>gyülekezet , csak az a közerkölcsiséget ne sértse és</t>
  </si>
  <si>
    <t>beszéd ne tartassék . Senki se kötelezhető , hogy</t>
  </si>
  <si>
    <t>1875,Csengery Antal</t>
  </si>
  <si>
    <t>önadóztatási jog nélkül . És minő alaki szervezet ! Látva az</t>
  </si>
  <si>
    <t>államellenes</t>
  </si>
  <si>
    <t>mozgalmakat , a melyek az ország egyes részeiben</t>
  </si>
  <si>
    <t>1876,Hevesi Lajos</t>
  </si>
  <si>
    <t>lomb között pirulni ' ' szoktak ? Ezek a narancsok</t>
  </si>
  <si>
    <t>sötét sárgaságukat valami üde zöldes csillámu ezüstszürkeséggel</t>
  </si>
  <si>
    <t>legfeljebb Belgiumot kell felemlitenünk , hol egyes</t>
  </si>
  <si>
    <t>vallásellenes</t>
  </si>
  <si>
    <t>iskola törvénynyel felizgatta a kedélyeket , és Spanyolországról</t>
  </si>
  <si>
    <t>1880,Antolik Károly</t>
  </si>
  <si>
    <t>a talált felező pontokat egyenes vonalak által az</t>
  </si>
  <si>
    <t>csúcsokkal összekötjük . Középlégnyomásnak a levegő</t>
  </si>
  <si>
    <t>1880,Mikszáth Kálmán</t>
  </si>
  <si>
    <t>tart a fejedelmek közt . Mikor az egész kontinensről</t>
  </si>
  <si>
    <t>királyellenes</t>
  </si>
  <si>
    <t>merényletek híre jön , akkor itt az egész ország</t>
  </si>
  <si>
    <t>1880-1882,Pulszky Ferenc</t>
  </si>
  <si>
    <t>bizonyúlt , mint magyarnak , mert nem állt ellen a</t>
  </si>
  <si>
    <t>mozgalomnak , mely az irányadó köröknél annál kedvesebb</t>
  </si>
  <si>
    <t>fel mind a tartományi gyűlés rendezésének egyoldalú</t>
  </si>
  <si>
    <t>keresztülvitele , mind a turopolyai nemesek politikai</t>
  </si>
  <si>
    <t>tudományos nevelést . Ez beszélte nekem mindig , hogy a</t>
  </si>
  <si>
    <t>elem Bukarestben nem a benszülött ; ez s főkép a</t>
  </si>
  <si>
    <t>1881,Kossuth Lajos</t>
  </si>
  <si>
    <t>menekülni kényszerítette s az összeolvadhatlan elemek ama</t>
  </si>
  <si>
    <t>zagyvaléka , melyet osztrák-birodalomnak neveznek</t>
  </si>
  <si>
    <t>1881,Madarász József</t>
  </si>
  <si>
    <t>ellenkezvén , és a kölcsönös egyetértést zavarván , mint</t>
  </si>
  <si>
    <t>sérelmek lévén , fölírás útján ő felsége megkéretik</t>
  </si>
  <si>
    <t>melyben a megyéket illető 1848-iki törvény rendeletét</t>
  </si>
  <si>
    <t>haza-ellenes</t>
  </si>
  <si>
    <t>bűnnek mondja , s fölhí , hogy a teljes önkormányzati</t>
  </si>
  <si>
    <t>1881,Mikszáth Kálmán</t>
  </si>
  <si>
    <t>egymásnak a kilincset , apró bevásárlásokat téve ; Az</t>
  </si>
  <si>
    <t>kávéház pincérjei szerzik be szivar- , burnót- és</t>
  </si>
  <si>
    <t>1881,Teleki Sándor</t>
  </si>
  <si>
    <t>hangjának diapasonja csütörtököt mondott , s valami olyan</t>
  </si>
  <si>
    <t>hanggal lepett meg , hogy még bámulói sem tarthatták</t>
  </si>
  <si>
    <t>1882,Mikszáth Kálmán</t>
  </si>
  <si>
    <t>körültekint , azután pedig plakátot ragaszt ki az</t>
  </si>
  <si>
    <t>sarokházra . Odamegy a boltos s bosszankodva olvassa</t>
  </si>
  <si>
    <t>gyűlöletének egész mérgét az ország ellen . A bécsi lap</t>
  </si>
  <si>
    <t>cikkei , melyek értelemmel s verve-vel voltak írva</t>
  </si>
  <si>
    <t>valahol . . . « De azért Jakab mégis csak egyre írta a</t>
  </si>
  <si>
    <t>cikkeket a bécsi lapba . Ej , frázis , egy nagy frázis</t>
  </si>
  <si>
    <t>1882,Szathmáry Károly</t>
  </si>
  <si>
    <t>valószinűleg azon szándékkal , hogy beszédemből valami</t>
  </si>
  <si>
    <t>rendőrellenes</t>
  </si>
  <si>
    <t>dolgot fog kileshetni ; mit én észrevévén , e nemes</t>
  </si>
  <si>
    <t>1882,Vámbéry Ármin</t>
  </si>
  <si>
    <t>analogiájára utal ( tehát ismét az árja példákra való</t>
  </si>
  <si>
    <t>és végzetes hivatkozás ! ) : a mennyiben arceo ,</t>
  </si>
  <si>
    <t>1883,Trefort Ágoston</t>
  </si>
  <si>
    <t>kivánom igazolni , hogy a beterjesztett tariffa szabad</t>
  </si>
  <si>
    <t>kereskedés-ellenes</t>
  </si>
  <si>
    <t>és védvámos irányzatokkal alaptalanul vádoltatik</t>
  </si>
  <si>
    <t>1884 e.,Bellaagh József</t>
  </si>
  <si>
    <t>fedezéséről való tanácskozás ( zusteuern ) . Miféle</t>
  </si>
  <si>
    <t>hűbérellenes</t>
  </si>
  <si>
    <t>jelenséget találunk a 2-ik korszakban ? A testületi</t>
  </si>
  <si>
    <t>kaczagás volt ez ! . ) S én meglátva rémült arczomat az</t>
  </si>
  <si>
    <t>tükörben , szintén hahotára fakadtam ; aztán leültünk</t>
  </si>
  <si>
    <t>1884,Endrődi Sándor</t>
  </si>
  <si>
    <t>kalitkájából ) a tornáczra lépett ! Amennyi galamb az</t>
  </si>
  <si>
    <t>háztetőn üldögélt , mind egytől-egyig megcsattogtatta</t>
  </si>
  <si>
    <t>kigyönyörködte magát s véletlenül megakadnak szemei az</t>
  </si>
  <si>
    <t>part fürdőhelyén , Balaton-Füreden , mely néhány</t>
  </si>
  <si>
    <t>1885,Beöthy Zsolt</t>
  </si>
  <si>
    <t>vizsgáltuk azokat az okokat , melyek a kiváló egyént ebbe a</t>
  </si>
  <si>
    <t>, vészes helyzetbe sodorhatják , s arra az eredményre</t>
  </si>
  <si>
    <t>1885,Moravcsik Ernő Emil--Zofáhl Rezső</t>
  </si>
  <si>
    <t>azt , valjon az illető egyént meg kell-e büntetni</t>
  </si>
  <si>
    <t>cselekedeteért , meg szabad-e vonni tőle polgári</t>
  </si>
  <si>
    <t>Végrendeletének megírasa után E . -né rögtön meghalt , - nyilván</t>
  </si>
  <si>
    <t>, borzasztó halállal . A beteg érezte , hogy ő is</t>
  </si>
  <si>
    <t>fogják eltemetni , utálja életét , azonkívül testének</t>
  </si>
  <si>
    <t>súlyérzetét allegorice úgy fejezi ki , hogy élő fal</t>
  </si>
  <si>
    <t>kellemetlen érzésének kiindulási pontját és magvát a</t>
  </si>
  <si>
    <t>gastrointestinális érzetek képezik . A beteg tápcsövének</t>
  </si>
  <si>
    <t>is . Mig az egyszerű hypochondria keretében a beteg</t>
  </si>
  <si>
    <t>érzeteit még logice helyes okoskodással fogja fel</t>
  </si>
  <si>
    <t>amilyen valóban és az aggkor egyes jeleit mutatja .</t>
  </si>
  <si>
    <t>bőrérzékenység és fájdalmas neuralgikus pontokat</t>
  </si>
  <si>
    <t>értelmezésre hívják fel a beteget . Müvelt betegek ezen</t>
  </si>
  <si>
    <t>érzeteket igen meglepő egyformasággal annak tulajdonítják</t>
  </si>
  <si>
    <t>1885,Porzsolt Lajos</t>
  </si>
  <si>
    <t>hogy tartósabbá legyen . A labdát a zsineggel két</t>
  </si>
  <si>
    <t>pontjaiban kereszteződve olyképen tekerjük 4-szer</t>
  </si>
  <si>
    <t>1885,Salamon Ferenc</t>
  </si>
  <si>
    <t>oklevél bizonyitja , révészek és hajósok voltak , az</t>
  </si>
  <si>
    <t>héviziekkel együtt . Hajós-szolgálatra voltak kötelezve</t>
  </si>
  <si>
    <t>eljárása által gyanus érzelműnek tartottak . Az őszintén</t>
  </si>
  <si>
    <t>Károly-ellenes</t>
  </si>
  <si>
    <t>polgárt is kezdte tulajdon szomszédja azzal gyanusitni</t>
  </si>
  <si>
    <t>1887,Tóvölgyi Titusz</t>
  </si>
  <si>
    <t>. Hogy alknázzák , kínozzák , termésre erőltetik ,</t>
  </si>
  <si>
    <t>növényzet hozatalára unszolják , nyúzzák , bután</t>
  </si>
  <si>
    <t>1888,Greguss Ágost</t>
  </si>
  <si>
    <t>gonoszság viszont és minden erkölcsi hiba , egyszersmind</t>
  </si>
  <si>
    <t>észellenes</t>
  </si>
  <si>
    <t>, oktalan . Az erény tehát , mint észszerű is szép</t>
  </si>
  <si>
    <t>1888,Tóvölgyi Titusz</t>
  </si>
  <si>
    <t>kimondja : Nincs örökség , és nem lesz magánvagyon ! A</t>
  </si>
  <si>
    <t>házasságok rablánczai közt és börtöneiben sínylődik</t>
  </si>
  <si>
    <t>álláspontra helyezkedtek s mozgalmuk már csak azért is</t>
  </si>
  <si>
    <t>, mert nem tartották meg a tizennégynapi fölmondási</t>
  </si>
  <si>
    <t>szociáldemokrata tendenciák vegyülnek a mozgalomba és izgatnak</t>
  </si>
  <si>
    <t>ellenállásra , akkor kérlelhetetlen szigorral és</t>
  </si>
  <si>
    <t>1889,Iványi Ödön</t>
  </si>
  <si>
    <t>hires pecsovicscsal . A vége mégis az lesz ennek a</t>
  </si>
  <si>
    <t>barátkozásnak , - gondolták magukban - hogy a kemény</t>
  </si>
  <si>
    <t>1890,Csapodi István</t>
  </si>
  <si>
    <t>forgatható korongon küllős sávok vannak , melyekkel a</t>
  </si>
  <si>
    <t>görbülés főirányait is meg lehet határozni ( astigmatismus</t>
  </si>
  <si>
    <t>főkapitányság az idő rövidsége miatt Ziffermayernek ezen</t>
  </si>
  <si>
    <t>tilalomellenes</t>
  </si>
  <si>
    <t>újabbi ténykedéséről tudomást nem kapott , nem szerezhetett</t>
  </si>
  <si>
    <t>1892,Brassai Sámuel</t>
  </si>
  <si>
    <t>tanítványok érdekében vett erősségekkel azt a visszás ,</t>
  </si>
  <si>
    <t>, butító rendszert nem védhetik . Nem is igen kisértik</t>
  </si>
  <si>
    <t>a mi történt , abban már , azt hiszem , van valami</t>
  </si>
  <si>
    <t>; midőn ugyanis a kisasszonytól búcsút szándékoztam</t>
  </si>
  <si>
    <t>1894,Löw Immánuel</t>
  </si>
  <si>
    <t>mind elemeiben , mind szerkezetében , mind irányában</t>
  </si>
  <si>
    <t>természetű . 7 IV . Következik a negyedik utalás</t>
  </si>
  <si>
    <t>1894,Péterfy Jenő</t>
  </si>
  <si>
    <t>politikát még nem lehet űzni . Azután panaszkodunk</t>
  </si>
  <si>
    <t>izgatásokról , mikor ott hagyjuk magára tenyészni</t>
  </si>
  <si>
    <t>1896,Riedl Frigyes</t>
  </si>
  <si>
    <t>tragikuma : világmegvetésének erkölcsi nagysága és</t>
  </si>
  <si>
    <t>véglete . Valamint ég és föld , természet és csodavilág</t>
  </si>
  <si>
    <t>1897,Mikszáth Kálmán</t>
  </si>
  <si>
    <t>Miféle piramidális ostobaság történt itt ? - kérdé az</t>
  </si>
  <si>
    <t>házra mutatva , hol egy Röszkey-zászló lógott . -</t>
  </si>
  <si>
    <t>1897,Riedl Frigyes</t>
  </si>
  <si>
    <t>tehetné , mulhatatlanul szűkséges , hogy a törvények</t>
  </si>
  <si>
    <t>felfűggesztése tettleg megszűntessék . 38 . Az érvelés</t>
  </si>
  <si>
    <t>1898,Pauler Ákos</t>
  </si>
  <si>
    <t>akartuk . A , , fölösleges ' ' csakúgy mint a , ,</t>
  </si>
  <si>
    <t>' ' és a , , véletlen ' ' naiv metaphysikai fogalmak</t>
  </si>
  <si>
    <t>budapesti függetlenségi kör elnökét . Pázmándy Dénest a</t>
  </si>
  <si>
    <t>Sima-ellenes</t>
  </si>
  <si>
    <t>megyepárt vette kombinációba . Az , hogy Molnár visszalépett</t>
  </si>
  <si>
    <t>. Pedig a főváros e követelése lehetetlen , - mert</t>
  </si>
  <si>
    <t>! Előadó számos , megdöbbentő példával bizonyítja</t>
  </si>
  <si>
    <t>jó</t>
  </si>
  <si>
    <t>rossz</t>
  </si>
  <si>
    <t>jó:</t>
  </si>
  <si>
    <t>rossz:</t>
  </si>
  <si>
    <t>other abstract 2</t>
  </si>
  <si>
    <t>natural o/p</t>
  </si>
  <si>
    <t>institution-like social structures</t>
  </si>
  <si>
    <t>state</t>
  </si>
  <si>
    <t>cultural o/p</t>
  </si>
  <si>
    <t>location</t>
  </si>
  <si>
    <t>animal</t>
  </si>
  <si>
    <t>human</t>
  </si>
  <si>
    <t>process</t>
  </si>
  <si>
    <t>human:</t>
  </si>
  <si>
    <t>animal:</t>
  </si>
  <si>
    <t>natural o/p:</t>
  </si>
  <si>
    <t>artefact:</t>
  </si>
  <si>
    <t>cultural o/p:</t>
  </si>
  <si>
    <t>institution-like social structures:</t>
  </si>
  <si>
    <t>event:</t>
  </si>
  <si>
    <t>other abstract 1:</t>
  </si>
  <si>
    <t>other abstract 2:</t>
  </si>
  <si>
    <t>state:</t>
  </si>
  <si>
    <t>process:</t>
  </si>
  <si>
    <t>location:</t>
  </si>
  <si>
    <t>ability:</t>
  </si>
  <si>
    <t>schematic entities:</t>
  </si>
  <si>
    <t>szövegkörnyezet</t>
  </si>
  <si>
    <t>keletkezés</t>
  </si>
  <si>
    <t>adat</t>
  </si>
  <si>
    <t>megfelelőség</t>
  </si>
  <si>
    <t>Paradis ontológiák</t>
  </si>
  <si>
    <t>bővített ontológiai kategória</t>
  </si>
  <si>
    <t>kritérium</t>
  </si>
  <si>
    <t>darabszám</t>
  </si>
  <si>
    <r>
      <t>Az MTSZ 1900 előtti N.</t>
    </r>
    <r>
      <rPr>
        <i/>
        <sz val="18"/>
        <color theme="1"/>
        <rFont val="Aptos Narrow"/>
        <family val="2"/>
        <scheme val="minor"/>
      </rPr>
      <t>ellenes</t>
    </r>
    <r>
      <rPr>
        <sz val="18"/>
        <color theme="1"/>
        <rFont val="Aptos Narrow"/>
        <family val="2"/>
        <scheme val="minor"/>
      </rPr>
      <t xml:space="preserve"> adatai (9.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</si>
</sst>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5" fillId="0" borderId="1" xfId="0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BC93-CD20-418C-B962-CDAB7EDFFA80}">
  <sheetPr>
    <pageSetUpPr fitToPage="1"/>
  </sheetPr>
  <dimension ref="A1:J142"/>
  <sheetViews>
    <sheetView tabSelected="1" zoomScaleNormal="100" workbookViewId="0">
      <selection activeCell="D2" sqref="D2"/>
    </sheetView>
  </sheetViews>
  <sheetFormatPr defaultRowHeight="14.4" x14ac:dyDescent="0.3"/>
  <cols>
    <col min="1" max="1" width="26.33203125" style="10" bestFit="1" customWidth="1"/>
    <col min="2" max="2" width="41.77734375" style="2" bestFit="1" customWidth="1"/>
    <col min="3" max="3" width="13.88671875" style="2" bestFit="1" customWidth="1"/>
    <col min="4" max="4" width="40.44140625" style="2" bestFit="1" customWidth="1"/>
    <col min="5" max="5" width="12.33203125" style="2" bestFit="1" customWidth="1"/>
    <col min="6" max="6" width="17.109375" style="3" bestFit="1" customWidth="1"/>
    <col min="7" max="7" width="28.6640625" style="2" bestFit="1" customWidth="1"/>
    <col min="8" max="8" width="8.88671875" style="2"/>
    <col min="9" max="9" width="27" style="2" bestFit="1" customWidth="1"/>
    <col min="10" max="10" width="10.44140625" style="2" bestFit="1" customWidth="1"/>
    <col min="11" max="16384" width="8.88671875" style="2"/>
  </cols>
  <sheetData>
    <row r="1" spans="1:10" ht="30" customHeight="1" x14ac:dyDescent="0.3">
      <c r="A1" s="12" t="s">
        <v>437</v>
      </c>
    </row>
    <row r="2" spans="1:10" ht="14.4" customHeight="1" x14ac:dyDescent="0.45">
      <c r="A2" s="1"/>
    </row>
    <row r="3" spans="1:10" s="5" customFormat="1" ht="36" customHeight="1" x14ac:dyDescent="0.3">
      <c r="A3" s="4" t="s">
        <v>430</v>
      </c>
      <c r="B3" s="5" t="s">
        <v>429</v>
      </c>
      <c r="C3" s="5" t="s">
        <v>431</v>
      </c>
      <c r="D3" s="5" t="s">
        <v>429</v>
      </c>
      <c r="E3" s="5" t="s">
        <v>432</v>
      </c>
      <c r="F3" s="5" t="s">
        <v>433</v>
      </c>
      <c r="G3" s="5" t="s">
        <v>434</v>
      </c>
      <c r="I3" s="5" t="s">
        <v>435</v>
      </c>
      <c r="J3" s="5" t="s">
        <v>436</v>
      </c>
    </row>
    <row r="4" spans="1:10" x14ac:dyDescent="0.3">
      <c r="A4" s="6" t="s">
        <v>0</v>
      </c>
      <c r="B4" s="7" t="s">
        <v>1</v>
      </c>
      <c r="C4" s="8" t="s">
        <v>2</v>
      </c>
      <c r="D4" s="9" t="s">
        <v>3</v>
      </c>
      <c r="E4" s="2" t="s">
        <v>402</v>
      </c>
      <c r="F4" s="3">
        <v>3</v>
      </c>
      <c r="G4" s="2" t="s">
        <v>406</v>
      </c>
    </row>
    <row r="5" spans="1:10" x14ac:dyDescent="0.3">
      <c r="A5" s="6" t="s">
        <v>0</v>
      </c>
      <c r="B5" s="7" t="s">
        <v>4</v>
      </c>
      <c r="C5" s="8" t="s">
        <v>5</v>
      </c>
      <c r="D5" s="9" t="s">
        <v>6</v>
      </c>
      <c r="E5" s="2" t="s">
        <v>402</v>
      </c>
      <c r="F5" s="3">
        <v>3</v>
      </c>
      <c r="G5" s="2" t="s">
        <v>407</v>
      </c>
    </row>
    <row r="6" spans="1:10" x14ac:dyDescent="0.3">
      <c r="A6" s="6">
        <v>1834</v>
      </c>
      <c r="B6" s="7" t="s">
        <v>7</v>
      </c>
      <c r="C6" s="8" t="s">
        <v>8</v>
      </c>
      <c r="D6" s="9" t="s">
        <v>9</v>
      </c>
      <c r="E6" s="2" t="s">
        <v>403</v>
      </c>
    </row>
    <row r="7" spans="1:10" x14ac:dyDescent="0.3">
      <c r="A7" s="6">
        <v>1834</v>
      </c>
      <c r="B7" s="7" t="s">
        <v>10</v>
      </c>
      <c r="C7" s="8" t="s">
        <v>8</v>
      </c>
      <c r="D7" s="9" t="s">
        <v>11</v>
      </c>
      <c r="E7" s="2" t="s">
        <v>403</v>
      </c>
      <c r="I7" s="2" t="s">
        <v>404</v>
      </c>
      <c r="J7" s="2">
        <f>COUNTIF(E:E,"jó")</f>
        <v>121</v>
      </c>
    </row>
    <row r="8" spans="1:10" x14ac:dyDescent="0.3">
      <c r="A8" s="6" t="s">
        <v>12</v>
      </c>
      <c r="B8" s="7" t="s">
        <v>13</v>
      </c>
      <c r="C8" s="8" t="s">
        <v>2</v>
      </c>
      <c r="D8" s="9" t="s">
        <v>14</v>
      </c>
      <c r="E8" s="2" t="s">
        <v>402</v>
      </c>
      <c r="F8" s="3">
        <v>3</v>
      </c>
      <c r="G8" s="2" t="s">
        <v>406</v>
      </c>
      <c r="I8" s="2" t="s">
        <v>405</v>
      </c>
      <c r="J8" s="2">
        <f>COUNTIF(E:E,"rossz")</f>
        <v>17</v>
      </c>
    </row>
    <row r="9" spans="1:10" x14ac:dyDescent="0.3">
      <c r="A9" s="6" t="s">
        <v>15</v>
      </c>
      <c r="B9" s="7" t="s">
        <v>16</v>
      </c>
      <c r="C9" s="8" t="s">
        <v>8</v>
      </c>
      <c r="D9" s="9" t="s">
        <v>17</v>
      </c>
      <c r="E9" s="2" t="s">
        <v>403</v>
      </c>
    </row>
    <row r="10" spans="1:10" x14ac:dyDescent="0.3">
      <c r="A10" s="6" t="s">
        <v>18</v>
      </c>
      <c r="B10" s="7" t="s">
        <v>19</v>
      </c>
      <c r="C10" s="8" t="s">
        <v>20</v>
      </c>
      <c r="D10" s="9" t="s">
        <v>21</v>
      </c>
      <c r="E10" s="2" t="s">
        <v>402</v>
      </c>
      <c r="F10" s="3">
        <v>3</v>
      </c>
      <c r="G10" s="2" t="s">
        <v>410</v>
      </c>
    </row>
    <row r="11" spans="1:10" x14ac:dyDescent="0.3">
      <c r="A11" s="6" t="s">
        <v>22</v>
      </c>
      <c r="B11" s="7" t="s">
        <v>23</v>
      </c>
      <c r="C11" s="8" t="s">
        <v>24</v>
      </c>
      <c r="D11" s="9" t="s">
        <v>25</v>
      </c>
      <c r="E11" s="2" t="s">
        <v>402</v>
      </c>
      <c r="F11" s="3">
        <v>3</v>
      </c>
      <c r="G11" s="2" t="s">
        <v>406</v>
      </c>
      <c r="I11" s="10">
        <v>1</v>
      </c>
      <c r="J11" s="2">
        <f>COUNTIF(F:F,1)</f>
        <v>11</v>
      </c>
    </row>
    <row r="12" spans="1:10" x14ac:dyDescent="0.3">
      <c r="A12" s="6" t="s">
        <v>26</v>
      </c>
      <c r="B12" s="7" t="s">
        <v>27</v>
      </c>
      <c r="C12" s="8" t="s">
        <v>28</v>
      </c>
      <c r="D12" s="9" t="s">
        <v>29</v>
      </c>
      <c r="E12" s="2" t="s">
        <v>402</v>
      </c>
      <c r="F12" s="3">
        <v>3</v>
      </c>
      <c r="G12" s="2" t="s">
        <v>408</v>
      </c>
      <c r="I12" s="10">
        <v>2</v>
      </c>
      <c r="J12" s="2">
        <f>COUNTIF(F:F,2)</f>
        <v>6</v>
      </c>
    </row>
    <row r="13" spans="1:10" x14ac:dyDescent="0.3">
      <c r="A13" s="6" t="s">
        <v>30</v>
      </c>
      <c r="B13" s="7" t="s">
        <v>31</v>
      </c>
      <c r="C13" s="8" t="s">
        <v>28</v>
      </c>
      <c r="D13" s="9" t="s">
        <v>32</v>
      </c>
      <c r="E13" s="2" t="s">
        <v>402</v>
      </c>
      <c r="F13" s="3">
        <v>3</v>
      </c>
      <c r="G13" s="2" t="s">
        <v>408</v>
      </c>
      <c r="I13" s="10">
        <v>3</v>
      </c>
      <c r="J13" s="2">
        <f>COUNTIF(F:F,3)</f>
        <v>104</v>
      </c>
    </row>
    <row r="14" spans="1:10" x14ac:dyDescent="0.3">
      <c r="A14" s="6" t="s">
        <v>30</v>
      </c>
      <c r="B14" s="7" t="s">
        <v>33</v>
      </c>
      <c r="C14" s="8" t="s">
        <v>34</v>
      </c>
      <c r="D14" s="9" t="s">
        <v>35</v>
      </c>
      <c r="E14" s="2" t="s">
        <v>402</v>
      </c>
      <c r="F14" s="3">
        <v>2</v>
      </c>
      <c r="G14" s="2" t="s">
        <v>409</v>
      </c>
    </row>
    <row r="15" spans="1:10" x14ac:dyDescent="0.3">
      <c r="A15" s="6" t="s">
        <v>36</v>
      </c>
      <c r="B15" s="7" t="s">
        <v>37</v>
      </c>
      <c r="C15" s="8" t="s">
        <v>38</v>
      </c>
      <c r="D15" s="9" t="s">
        <v>39</v>
      </c>
      <c r="E15" s="2" t="s">
        <v>402</v>
      </c>
      <c r="F15" s="3">
        <v>1</v>
      </c>
      <c r="G15" s="2" t="s">
        <v>407</v>
      </c>
    </row>
    <row r="16" spans="1:10" x14ac:dyDescent="0.3">
      <c r="A16" s="6" t="s">
        <v>40</v>
      </c>
      <c r="B16" s="7" t="s">
        <v>41</v>
      </c>
      <c r="C16" s="8" t="s">
        <v>42</v>
      </c>
      <c r="D16" s="9" t="s">
        <v>43</v>
      </c>
      <c r="E16" s="2" t="s">
        <v>402</v>
      </c>
      <c r="F16" s="3">
        <v>3</v>
      </c>
      <c r="G16" s="2" t="s">
        <v>410</v>
      </c>
      <c r="I16" s="2" t="s">
        <v>415</v>
      </c>
      <c r="J16" s="2">
        <f>COUNTIF(G:G,"human")</f>
        <v>5</v>
      </c>
    </row>
    <row r="17" spans="1:10" x14ac:dyDescent="0.3">
      <c r="A17" s="6" t="s">
        <v>40</v>
      </c>
      <c r="B17" s="7" t="s">
        <v>44</v>
      </c>
      <c r="C17" s="8" t="s">
        <v>42</v>
      </c>
      <c r="D17" s="9" t="s">
        <v>45</v>
      </c>
      <c r="E17" s="2" t="s">
        <v>402</v>
      </c>
      <c r="F17" s="3">
        <v>3</v>
      </c>
      <c r="G17" s="2" t="s">
        <v>410</v>
      </c>
      <c r="I17" s="2" t="s">
        <v>416</v>
      </c>
      <c r="J17" s="2">
        <f>COUNTIF(G:G,"animal")</f>
        <v>1</v>
      </c>
    </row>
    <row r="18" spans="1:10" x14ac:dyDescent="0.3">
      <c r="A18" s="6" t="s">
        <v>40</v>
      </c>
      <c r="B18" s="7" t="s">
        <v>46</v>
      </c>
      <c r="C18" s="8" t="s">
        <v>42</v>
      </c>
      <c r="D18" s="9" t="s">
        <v>47</v>
      </c>
      <c r="E18" s="2" t="s">
        <v>402</v>
      </c>
      <c r="F18" s="3">
        <v>3</v>
      </c>
      <c r="G18" s="2" t="s">
        <v>410</v>
      </c>
      <c r="I18" s="2" t="s">
        <v>417</v>
      </c>
      <c r="J18" s="2">
        <f>COUNTIF(G:G,"natural o/p")</f>
        <v>44</v>
      </c>
    </row>
    <row r="19" spans="1:10" x14ac:dyDescent="0.3">
      <c r="A19" s="6" t="s">
        <v>48</v>
      </c>
      <c r="B19" s="7" t="s">
        <v>49</v>
      </c>
      <c r="C19" s="8" t="s">
        <v>8</v>
      </c>
      <c r="D19" s="9" t="s">
        <v>50</v>
      </c>
      <c r="E19" s="2" t="s">
        <v>403</v>
      </c>
      <c r="I19" s="2" t="s">
        <v>418</v>
      </c>
      <c r="J19" s="2">
        <f>COUNTIF(G:G,"artefact")</f>
        <v>0</v>
      </c>
    </row>
    <row r="20" spans="1:10" x14ac:dyDescent="0.3">
      <c r="A20" s="6" t="s">
        <v>51</v>
      </c>
      <c r="B20" s="7" t="s">
        <v>52</v>
      </c>
      <c r="C20" s="8" t="s">
        <v>53</v>
      </c>
      <c r="D20" s="9" t="s">
        <v>54</v>
      </c>
      <c r="E20" s="2" t="s">
        <v>402</v>
      </c>
      <c r="F20" s="3">
        <v>3</v>
      </c>
      <c r="G20" s="2" t="s">
        <v>406</v>
      </c>
      <c r="I20" s="2" t="s">
        <v>419</v>
      </c>
      <c r="J20" s="2">
        <f>COUNTIF(G:G,"cultural o/p")</f>
        <v>26</v>
      </c>
    </row>
    <row r="21" spans="1:10" x14ac:dyDescent="0.3">
      <c r="A21" s="6" t="s">
        <v>51</v>
      </c>
      <c r="B21" s="7" t="s">
        <v>55</v>
      </c>
      <c r="C21" s="8" t="s">
        <v>53</v>
      </c>
      <c r="D21" s="9" t="s">
        <v>56</v>
      </c>
      <c r="E21" s="2" t="s">
        <v>402</v>
      </c>
      <c r="F21" s="3">
        <v>3</v>
      </c>
      <c r="G21" s="2" t="s">
        <v>406</v>
      </c>
      <c r="I21" s="2" t="s">
        <v>420</v>
      </c>
      <c r="J21" s="2">
        <f>COUNTIF(G:G,"institution-like social structures")</f>
        <v>7</v>
      </c>
    </row>
    <row r="22" spans="1:10" x14ac:dyDescent="0.3">
      <c r="A22" s="6" t="s">
        <v>51</v>
      </c>
      <c r="B22" s="7" t="s">
        <v>57</v>
      </c>
      <c r="C22" s="8" t="s">
        <v>53</v>
      </c>
      <c r="D22" s="9" t="s">
        <v>58</v>
      </c>
      <c r="E22" s="2" t="s">
        <v>402</v>
      </c>
      <c r="F22" s="3">
        <v>3</v>
      </c>
      <c r="G22" s="2" t="s">
        <v>406</v>
      </c>
      <c r="I22" s="2" t="s">
        <v>421</v>
      </c>
      <c r="J22" s="2">
        <f>COUNTIF(G:G,"event")</f>
        <v>0</v>
      </c>
    </row>
    <row r="23" spans="1:10" x14ac:dyDescent="0.3">
      <c r="A23" s="6" t="s">
        <v>51</v>
      </c>
      <c r="B23" s="7" t="s">
        <v>59</v>
      </c>
      <c r="C23" s="8" t="s">
        <v>60</v>
      </c>
      <c r="D23" s="9" t="s">
        <v>61</v>
      </c>
      <c r="E23" s="2" t="s">
        <v>402</v>
      </c>
      <c r="F23" s="3">
        <v>3</v>
      </c>
      <c r="G23" s="2" t="s">
        <v>406</v>
      </c>
      <c r="I23" s="2" t="s">
        <v>422</v>
      </c>
      <c r="J23" s="2">
        <f>COUNTIF(G:G,"other abstract 1")</f>
        <v>0</v>
      </c>
    </row>
    <row r="24" spans="1:10" x14ac:dyDescent="0.3">
      <c r="A24" s="6" t="s">
        <v>51</v>
      </c>
      <c r="B24" s="7" t="s">
        <v>62</v>
      </c>
      <c r="C24" s="8" t="s">
        <v>63</v>
      </c>
      <c r="D24" s="9" t="s">
        <v>64</v>
      </c>
      <c r="E24" s="2" t="s">
        <v>402</v>
      </c>
      <c r="F24" s="3">
        <v>3</v>
      </c>
      <c r="G24" s="2" t="s">
        <v>407</v>
      </c>
      <c r="I24" s="2" t="s">
        <v>423</v>
      </c>
      <c r="J24" s="2">
        <f>COUNTIF(G:G,"other abstract 2")</f>
        <v>28</v>
      </c>
    </row>
    <row r="25" spans="1:10" x14ac:dyDescent="0.3">
      <c r="A25" s="6" t="s">
        <v>51</v>
      </c>
      <c r="B25" s="7" t="s">
        <v>65</v>
      </c>
      <c r="C25" s="8" t="s">
        <v>53</v>
      </c>
      <c r="D25" s="9" t="s">
        <v>66</v>
      </c>
      <c r="E25" s="2" t="s">
        <v>402</v>
      </c>
      <c r="F25" s="3">
        <v>3</v>
      </c>
      <c r="G25" s="2" t="s">
        <v>406</v>
      </c>
      <c r="I25" s="2" t="s">
        <v>424</v>
      </c>
      <c r="J25" s="2">
        <f>COUNTIF(G:G,"state")</f>
        <v>5</v>
      </c>
    </row>
    <row r="26" spans="1:10" x14ac:dyDescent="0.3">
      <c r="A26" s="6" t="s">
        <v>67</v>
      </c>
      <c r="B26" s="7" t="s">
        <v>68</v>
      </c>
      <c r="C26" s="8" t="s">
        <v>8</v>
      </c>
      <c r="D26" s="9" t="s">
        <v>69</v>
      </c>
      <c r="E26" s="2" t="s">
        <v>403</v>
      </c>
      <c r="I26" s="2" t="s">
        <v>425</v>
      </c>
      <c r="J26" s="2">
        <f>COUNTIF(G:G,"process")</f>
        <v>1</v>
      </c>
    </row>
    <row r="27" spans="1:10" x14ac:dyDescent="0.3">
      <c r="A27" s="6" t="s">
        <v>70</v>
      </c>
      <c r="B27" s="7" t="s">
        <v>71</v>
      </c>
      <c r="C27" s="8" t="s">
        <v>72</v>
      </c>
      <c r="D27" s="9" t="s">
        <v>73</v>
      </c>
      <c r="E27" s="2" t="s">
        <v>402</v>
      </c>
      <c r="F27" s="3">
        <v>1</v>
      </c>
      <c r="G27" s="2" t="s">
        <v>411</v>
      </c>
      <c r="I27" s="2" t="s">
        <v>426</v>
      </c>
      <c r="J27" s="2">
        <f>COUNTIF(G:G,"location")</f>
        <v>4</v>
      </c>
    </row>
    <row r="28" spans="1:10" x14ac:dyDescent="0.3">
      <c r="A28" s="6" t="s">
        <v>74</v>
      </c>
      <c r="B28" s="7" t="s">
        <v>75</v>
      </c>
      <c r="C28" s="8" t="s">
        <v>76</v>
      </c>
      <c r="D28" s="9" t="s">
        <v>77</v>
      </c>
      <c r="E28" s="2" t="s">
        <v>402</v>
      </c>
      <c r="F28" s="3">
        <v>3</v>
      </c>
      <c r="G28" s="2" t="s">
        <v>410</v>
      </c>
      <c r="I28" s="2" t="s">
        <v>427</v>
      </c>
      <c r="J28" s="2">
        <f>COUNTIF(G:G,"ability")</f>
        <v>0</v>
      </c>
    </row>
    <row r="29" spans="1:10" x14ac:dyDescent="0.3">
      <c r="A29" s="6" t="s">
        <v>78</v>
      </c>
      <c r="B29" s="7" t="s">
        <v>79</v>
      </c>
      <c r="C29" s="8" t="s">
        <v>8</v>
      </c>
      <c r="D29" s="9" t="s">
        <v>80</v>
      </c>
      <c r="E29" s="2" t="s">
        <v>403</v>
      </c>
      <c r="I29" s="2" t="s">
        <v>428</v>
      </c>
      <c r="J29" s="2">
        <f>COUNTIF(G:G,"schematic entities")</f>
        <v>0</v>
      </c>
    </row>
    <row r="30" spans="1:10" x14ac:dyDescent="0.3">
      <c r="A30" s="6" t="s">
        <v>81</v>
      </c>
      <c r="B30" s="7" t="s">
        <v>82</v>
      </c>
      <c r="C30" s="8" t="s">
        <v>83</v>
      </c>
      <c r="D30" s="9" t="s">
        <v>84</v>
      </c>
      <c r="E30" s="2" t="s">
        <v>402</v>
      </c>
      <c r="F30" s="3">
        <v>3</v>
      </c>
      <c r="G30" s="2" t="s">
        <v>407</v>
      </c>
    </row>
    <row r="31" spans="1:10" x14ac:dyDescent="0.3">
      <c r="A31" s="6" t="s">
        <v>85</v>
      </c>
      <c r="B31" s="7" t="s">
        <v>86</v>
      </c>
      <c r="C31" s="8" t="s">
        <v>42</v>
      </c>
      <c r="D31" s="9" t="s">
        <v>87</v>
      </c>
      <c r="E31" s="2" t="s">
        <v>402</v>
      </c>
      <c r="F31" s="3">
        <v>3</v>
      </c>
      <c r="G31" s="2" t="s">
        <v>410</v>
      </c>
    </row>
    <row r="32" spans="1:10" x14ac:dyDescent="0.3">
      <c r="A32" s="6" t="s">
        <v>88</v>
      </c>
      <c r="B32" s="7" t="s">
        <v>89</v>
      </c>
      <c r="C32" s="8" t="s">
        <v>90</v>
      </c>
      <c r="D32" s="9" t="s">
        <v>91</v>
      </c>
      <c r="E32" s="2" t="s">
        <v>402</v>
      </c>
      <c r="F32" s="3">
        <v>3</v>
      </c>
      <c r="G32" s="2" t="s">
        <v>407</v>
      </c>
    </row>
    <row r="33" spans="1:7" x14ac:dyDescent="0.3">
      <c r="A33" s="6" t="s">
        <v>92</v>
      </c>
      <c r="B33" s="7" t="s">
        <v>93</v>
      </c>
      <c r="C33" s="8" t="s">
        <v>94</v>
      </c>
      <c r="D33" s="9" t="s">
        <v>95</v>
      </c>
      <c r="E33" s="2" t="s">
        <v>402</v>
      </c>
      <c r="F33" s="3">
        <v>1</v>
      </c>
      <c r="G33" s="2" t="s">
        <v>412</v>
      </c>
    </row>
    <row r="34" spans="1:7" x14ac:dyDescent="0.3">
      <c r="A34" s="6" t="s">
        <v>96</v>
      </c>
      <c r="B34" s="7" t="s">
        <v>97</v>
      </c>
      <c r="C34" s="8" t="s">
        <v>83</v>
      </c>
      <c r="D34" s="9" t="s">
        <v>98</v>
      </c>
      <c r="E34" s="2" t="s">
        <v>402</v>
      </c>
      <c r="F34" s="3">
        <v>3</v>
      </c>
      <c r="G34" s="2" t="s">
        <v>407</v>
      </c>
    </row>
    <row r="35" spans="1:7" x14ac:dyDescent="0.3">
      <c r="A35" s="6" t="s">
        <v>96</v>
      </c>
      <c r="B35" s="7" t="s">
        <v>99</v>
      </c>
      <c r="C35" s="8" t="s">
        <v>83</v>
      </c>
      <c r="D35" s="9" t="s">
        <v>100</v>
      </c>
      <c r="E35" s="2" t="s">
        <v>402</v>
      </c>
      <c r="F35" s="3">
        <v>3</v>
      </c>
      <c r="G35" s="2" t="s">
        <v>407</v>
      </c>
    </row>
    <row r="36" spans="1:7" x14ac:dyDescent="0.3">
      <c r="A36" s="6" t="s">
        <v>101</v>
      </c>
      <c r="B36" s="7" t="s">
        <v>102</v>
      </c>
      <c r="C36" s="8" t="s">
        <v>103</v>
      </c>
      <c r="D36" s="9" t="s">
        <v>104</v>
      </c>
      <c r="E36" s="2" t="s">
        <v>402</v>
      </c>
      <c r="F36" s="3">
        <v>1</v>
      </c>
      <c r="G36" s="2" t="s">
        <v>413</v>
      </c>
    </row>
    <row r="37" spans="1:7" x14ac:dyDescent="0.3">
      <c r="A37" s="6" t="s">
        <v>105</v>
      </c>
      <c r="B37" s="7" t="s">
        <v>106</v>
      </c>
      <c r="C37" s="8" t="s">
        <v>83</v>
      </c>
      <c r="D37" s="9" t="s">
        <v>107</v>
      </c>
      <c r="E37" s="2" t="s">
        <v>402</v>
      </c>
      <c r="F37" s="3">
        <v>3</v>
      </c>
      <c r="G37" s="2" t="s">
        <v>407</v>
      </c>
    </row>
    <row r="38" spans="1:7" x14ac:dyDescent="0.3">
      <c r="A38" s="6" t="s">
        <v>108</v>
      </c>
      <c r="B38" s="7" t="s">
        <v>109</v>
      </c>
      <c r="C38" s="8" t="s">
        <v>2</v>
      </c>
      <c r="D38" s="9" t="s">
        <v>110</v>
      </c>
      <c r="E38" s="2" t="s">
        <v>402</v>
      </c>
      <c r="F38" s="3">
        <v>3</v>
      </c>
      <c r="G38" s="2" t="s">
        <v>406</v>
      </c>
    </row>
    <row r="39" spans="1:7" x14ac:dyDescent="0.3">
      <c r="A39" s="6" t="s">
        <v>111</v>
      </c>
      <c r="B39" s="7" t="s">
        <v>112</v>
      </c>
      <c r="C39" s="8" t="s">
        <v>53</v>
      </c>
      <c r="D39" s="9" t="s">
        <v>113</v>
      </c>
      <c r="E39" s="2" t="s">
        <v>402</v>
      </c>
      <c r="F39" s="3">
        <v>3</v>
      </c>
      <c r="G39" s="2" t="s">
        <v>406</v>
      </c>
    </row>
    <row r="40" spans="1:7" x14ac:dyDescent="0.3">
      <c r="A40" s="6" t="s">
        <v>111</v>
      </c>
      <c r="B40" s="7" t="s">
        <v>114</v>
      </c>
      <c r="C40" s="8" t="s">
        <v>53</v>
      </c>
      <c r="D40" s="9" t="s">
        <v>115</v>
      </c>
      <c r="E40" s="2" t="s">
        <v>402</v>
      </c>
      <c r="F40" s="3">
        <v>3</v>
      </c>
      <c r="G40" s="2" t="s">
        <v>406</v>
      </c>
    </row>
    <row r="41" spans="1:7" x14ac:dyDescent="0.3">
      <c r="A41" s="6" t="s">
        <v>111</v>
      </c>
      <c r="B41" s="7" t="s">
        <v>116</v>
      </c>
      <c r="C41" s="8" t="s">
        <v>117</v>
      </c>
      <c r="D41" s="9" t="s">
        <v>118</v>
      </c>
      <c r="E41" s="2" t="s">
        <v>402</v>
      </c>
      <c r="F41" s="3">
        <v>3</v>
      </c>
      <c r="G41" s="2" t="s">
        <v>407</v>
      </c>
    </row>
    <row r="42" spans="1:7" x14ac:dyDescent="0.3">
      <c r="A42" s="6" t="s">
        <v>119</v>
      </c>
      <c r="B42" s="7" t="s">
        <v>120</v>
      </c>
      <c r="C42" s="8" t="s">
        <v>8</v>
      </c>
      <c r="D42" s="9" t="s">
        <v>121</v>
      </c>
      <c r="E42" s="2" t="s">
        <v>403</v>
      </c>
    </row>
    <row r="43" spans="1:7" x14ac:dyDescent="0.3">
      <c r="A43" s="6" t="s">
        <v>122</v>
      </c>
      <c r="B43" s="7" t="s">
        <v>123</v>
      </c>
      <c r="C43" s="8" t="s">
        <v>124</v>
      </c>
      <c r="D43" s="9" t="s">
        <v>125</v>
      </c>
      <c r="E43" s="2" t="s">
        <v>402</v>
      </c>
      <c r="F43" s="3">
        <v>2</v>
      </c>
      <c r="G43" s="2" t="s">
        <v>409</v>
      </c>
    </row>
    <row r="44" spans="1:7" x14ac:dyDescent="0.3">
      <c r="A44" s="6" t="s">
        <v>122</v>
      </c>
      <c r="B44" s="7" t="s">
        <v>126</v>
      </c>
      <c r="C44" s="8" t="s">
        <v>127</v>
      </c>
      <c r="D44" s="9" t="s">
        <v>128</v>
      </c>
      <c r="E44" s="2" t="s">
        <v>402</v>
      </c>
      <c r="F44" s="3">
        <v>3</v>
      </c>
      <c r="G44" s="2" t="s">
        <v>406</v>
      </c>
    </row>
    <row r="45" spans="1:7" x14ac:dyDescent="0.3">
      <c r="A45" s="6" t="s">
        <v>129</v>
      </c>
      <c r="B45" s="7" t="s">
        <v>130</v>
      </c>
      <c r="C45" s="8" t="s">
        <v>131</v>
      </c>
      <c r="D45" s="9" t="s">
        <v>132</v>
      </c>
      <c r="E45" s="2" t="s">
        <v>402</v>
      </c>
      <c r="F45" s="3">
        <v>3</v>
      </c>
      <c r="G45" s="2" t="s">
        <v>406</v>
      </c>
    </row>
    <row r="46" spans="1:7" x14ac:dyDescent="0.3">
      <c r="A46" s="6" t="s">
        <v>133</v>
      </c>
      <c r="B46" s="7" t="s">
        <v>134</v>
      </c>
      <c r="C46" s="8" t="s">
        <v>135</v>
      </c>
      <c r="D46" s="9" t="s">
        <v>136</v>
      </c>
      <c r="E46" s="2" t="s">
        <v>402</v>
      </c>
      <c r="F46" s="3">
        <v>3</v>
      </c>
      <c r="G46" s="2" t="s">
        <v>406</v>
      </c>
    </row>
    <row r="47" spans="1:7" x14ac:dyDescent="0.3">
      <c r="A47" s="6" t="s">
        <v>137</v>
      </c>
      <c r="B47" s="7" t="s">
        <v>138</v>
      </c>
      <c r="C47" s="8" t="s">
        <v>139</v>
      </c>
      <c r="D47" s="9" t="s">
        <v>140</v>
      </c>
      <c r="E47" s="2" t="s">
        <v>402</v>
      </c>
      <c r="F47" s="3">
        <v>3</v>
      </c>
      <c r="G47" s="2" t="s">
        <v>410</v>
      </c>
    </row>
    <row r="48" spans="1:7" x14ac:dyDescent="0.3">
      <c r="A48" s="6" t="s">
        <v>141</v>
      </c>
      <c r="B48" s="7" t="s">
        <v>142</v>
      </c>
      <c r="C48" s="8" t="s">
        <v>8</v>
      </c>
      <c r="D48" s="9" t="s">
        <v>143</v>
      </c>
      <c r="E48" s="2" t="s">
        <v>403</v>
      </c>
    </row>
    <row r="49" spans="1:7" x14ac:dyDescent="0.3">
      <c r="A49" s="6" t="s">
        <v>144</v>
      </c>
      <c r="B49" s="7" t="s">
        <v>145</v>
      </c>
      <c r="C49" s="8" t="s">
        <v>20</v>
      </c>
      <c r="D49" s="9" t="s">
        <v>146</v>
      </c>
      <c r="E49" s="2" t="s">
        <v>402</v>
      </c>
      <c r="F49" s="3">
        <v>3</v>
      </c>
      <c r="G49" s="2" t="s">
        <v>410</v>
      </c>
    </row>
    <row r="50" spans="1:7" x14ac:dyDescent="0.3">
      <c r="A50" s="6" t="s">
        <v>147</v>
      </c>
      <c r="B50" s="7" t="s">
        <v>148</v>
      </c>
      <c r="C50" s="8" t="s">
        <v>42</v>
      </c>
      <c r="D50" s="9" t="s">
        <v>149</v>
      </c>
      <c r="E50" s="2" t="s">
        <v>402</v>
      </c>
      <c r="F50" s="3">
        <v>3</v>
      </c>
      <c r="G50" s="2" t="s">
        <v>410</v>
      </c>
    </row>
    <row r="51" spans="1:7" x14ac:dyDescent="0.3">
      <c r="A51" s="6" t="s">
        <v>150</v>
      </c>
      <c r="B51" s="7" t="s">
        <v>151</v>
      </c>
      <c r="C51" s="8" t="s">
        <v>63</v>
      </c>
      <c r="D51" s="9" t="s">
        <v>152</v>
      </c>
      <c r="E51" s="2" t="s">
        <v>402</v>
      </c>
      <c r="F51" s="3">
        <v>3</v>
      </c>
      <c r="G51" s="2" t="s">
        <v>407</v>
      </c>
    </row>
    <row r="52" spans="1:7" x14ac:dyDescent="0.3">
      <c r="A52" s="6" t="s">
        <v>150</v>
      </c>
      <c r="B52" s="7" t="s">
        <v>153</v>
      </c>
      <c r="C52" s="8" t="s">
        <v>63</v>
      </c>
      <c r="D52" s="9" t="s">
        <v>154</v>
      </c>
      <c r="E52" s="2" t="s">
        <v>402</v>
      </c>
      <c r="F52" s="3">
        <v>3</v>
      </c>
      <c r="G52" s="2" t="s">
        <v>407</v>
      </c>
    </row>
    <row r="53" spans="1:7" x14ac:dyDescent="0.3">
      <c r="A53" s="6" t="s">
        <v>150</v>
      </c>
      <c r="B53" s="7" t="s">
        <v>155</v>
      </c>
      <c r="C53" s="8" t="s">
        <v>63</v>
      </c>
      <c r="D53" s="9" t="s">
        <v>156</v>
      </c>
      <c r="E53" s="2" t="s">
        <v>402</v>
      </c>
      <c r="F53" s="3">
        <v>3</v>
      </c>
      <c r="G53" s="2" t="s">
        <v>407</v>
      </c>
    </row>
    <row r="54" spans="1:7" x14ac:dyDescent="0.3">
      <c r="A54" s="6" t="s">
        <v>150</v>
      </c>
      <c r="B54" s="7" t="s">
        <v>157</v>
      </c>
      <c r="C54" s="8" t="s">
        <v>63</v>
      </c>
      <c r="D54" s="9" t="s">
        <v>158</v>
      </c>
      <c r="E54" s="2" t="s">
        <v>402</v>
      </c>
      <c r="F54" s="3">
        <v>3</v>
      </c>
      <c r="G54" s="2" t="s">
        <v>407</v>
      </c>
    </row>
    <row r="55" spans="1:7" x14ac:dyDescent="0.3">
      <c r="A55" s="6" t="s">
        <v>150</v>
      </c>
      <c r="B55" s="7" t="s">
        <v>159</v>
      </c>
      <c r="C55" s="8" t="s">
        <v>63</v>
      </c>
      <c r="D55" s="9" t="s">
        <v>160</v>
      </c>
      <c r="E55" s="2" t="s">
        <v>402</v>
      </c>
      <c r="F55" s="3">
        <v>3</v>
      </c>
      <c r="G55" s="2" t="s">
        <v>407</v>
      </c>
    </row>
    <row r="56" spans="1:7" x14ac:dyDescent="0.3">
      <c r="A56" s="6" t="s">
        <v>150</v>
      </c>
      <c r="B56" s="7" t="s">
        <v>161</v>
      </c>
      <c r="C56" s="8" t="s">
        <v>162</v>
      </c>
      <c r="D56" s="9" t="s">
        <v>163</v>
      </c>
      <c r="E56" s="2" t="s">
        <v>402</v>
      </c>
      <c r="F56" s="3">
        <v>3</v>
      </c>
      <c r="G56" s="2" t="s">
        <v>407</v>
      </c>
    </row>
    <row r="57" spans="1:7" x14ac:dyDescent="0.3">
      <c r="A57" s="6" t="s">
        <v>150</v>
      </c>
      <c r="B57" s="7" t="s">
        <v>164</v>
      </c>
      <c r="C57" s="8" t="s">
        <v>165</v>
      </c>
      <c r="D57" s="9" t="s">
        <v>166</v>
      </c>
      <c r="E57" s="2" t="s">
        <v>402</v>
      </c>
      <c r="F57" s="3">
        <v>3</v>
      </c>
      <c r="G57" s="2" t="s">
        <v>407</v>
      </c>
    </row>
    <row r="58" spans="1:7" x14ac:dyDescent="0.3">
      <c r="A58" s="6" t="s">
        <v>150</v>
      </c>
      <c r="B58" s="7" t="s">
        <v>167</v>
      </c>
      <c r="C58" s="8" t="s">
        <v>63</v>
      </c>
      <c r="D58" s="9" t="s">
        <v>168</v>
      </c>
      <c r="E58" s="2" t="s">
        <v>402</v>
      </c>
      <c r="F58" s="3">
        <v>3</v>
      </c>
      <c r="G58" s="2" t="s">
        <v>407</v>
      </c>
    </row>
    <row r="59" spans="1:7" x14ac:dyDescent="0.3">
      <c r="A59" s="6" t="s">
        <v>150</v>
      </c>
      <c r="B59" s="7" t="s">
        <v>169</v>
      </c>
      <c r="C59" s="8" t="s">
        <v>63</v>
      </c>
      <c r="D59" s="9" t="s">
        <v>170</v>
      </c>
      <c r="E59" s="2" t="s">
        <v>402</v>
      </c>
      <c r="F59" s="3">
        <v>3</v>
      </c>
      <c r="G59" s="2" t="s">
        <v>407</v>
      </c>
    </row>
    <row r="60" spans="1:7" x14ac:dyDescent="0.3">
      <c r="A60" s="6" t="s">
        <v>150</v>
      </c>
      <c r="B60" s="7" t="s">
        <v>171</v>
      </c>
      <c r="C60" s="8" t="s">
        <v>63</v>
      </c>
      <c r="D60" s="9" t="s">
        <v>172</v>
      </c>
      <c r="E60" s="2" t="s">
        <v>402</v>
      </c>
      <c r="F60" s="3">
        <v>3</v>
      </c>
      <c r="G60" s="2" t="s">
        <v>407</v>
      </c>
    </row>
    <row r="61" spans="1:7" x14ac:dyDescent="0.3">
      <c r="A61" s="6" t="s">
        <v>150</v>
      </c>
      <c r="B61" s="7" t="s">
        <v>173</v>
      </c>
      <c r="C61" s="8" t="s">
        <v>63</v>
      </c>
      <c r="D61" s="9" t="s">
        <v>174</v>
      </c>
      <c r="E61" s="2" t="s">
        <v>402</v>
      </c>
      <c r="F61" s="3">
        <v>3</v>
      </c>
      <c r="G61" s="2" t="s">
        <v>407</v>
      </c>
    </row>
    <row r="62" spans="1:7" x14ac:dyDescent="0.3">
      <c r="A62" s="6" t="s">
        <v>150</v>
      </c>
      <c r="B62" s="7" t="s">
        <v>175</v>
      </c>
      <c r="C62" s="8" t="s">
        <v>176</v>
      </c>
      <c r="D62" s="9" t="s">
        <v>177</v>
      </c>
      <c r="E62" s="2" t="s">
        <v>402</v>
      </c>
      <c r="F62" s="3">
        <v>3</v>
      </c>
      <c r="G62" s="2" t="s">
        <v>407</v>
      </c>
    </row>
    <row r="63" spans="1:7" x14ac:dyDescent="0.3">
      <c r="A63" s="6" t="s">
        <v>150</v>
      </c>
      <c r="B63" s="7" t="s">
        <v>178</v>
      </c>
      <c r="C63" s="8" t="s">
        <v>63</v>
      </c>
      <c r="D63" s="9" t="s">
        <v>179</v>
      </c>
      <c r="E63" s="2" t="s">
        <v>402</v>
      </c>
      <c r="F63" s="3">
        <v>3</v>
      </c>
      <c r="G63" s="2" t="s">
        <v>407</v>
      </c>
    </row>
    <row r="64" spans="1:7" x14ac:dyDescent="0.3">
      <c r="A64" s="6" t="s">
        <v>150</v>
      </c>
      <c r="B64" s="7" t="s">
        <v>180</v>
      </c>
      <c r="C64" s="8" t="s">
        <v>63</v>
      </c>
      <c r="D64" s="9" t="s">
        <v>181</v>
      </c>
      <c r="E64" s="2" t="s">
        <v>402</v>
      </c>
      <c r="F64" s="3">
        <v>3</v>
      </c>
      <c r="G64" s="2" t="s">
        <v>407</v>
      </c>
    </row>
    <row r="65" spans="1:7" x14ac:dyDescent="0.3">
      <c r="A65" s="6" t="s">
        <v>150</v>
      </c>
      <c r="B65" s="7" t="s">
        <v>182</v>
      </c>
      <c r="C65" s="8" t="s">
        <v>63</v>
      </c>
      <c r="D65" s="9" t="s">
        <v>183</v>
      </c>
      <c r="E65" s="2" t="s">
        <v>402</v>
      </c>
      <c r="F65" s="3">
        <v>3</v>
      </c>
      <c r="G65" s="2" t="s">
        <v>407</v>
      </c>
    </row>
    <row r="66" spans="1:7" x14ac:dyDescent="0.3">
      <c r="A66" s="6" t="s">
        <v>150</v>
      </c>
      <c r="B66" s="7" t="s">
        <v>184</v>
      </c>
      <c r="C66" s="8" t="s">
        <v>63</v>
      </c>
      <c r="D66" s="9" t="s">
        <v>185</v>
      </c>
      <c r="E66" s="2" t="s">
        <v>402</v>
      </c>
      <c r="F66" s="3">
        <v>3</v>
      </c>
      <c r="G66" s="2" t="s">
        <v>407</v>
      </c>
    </row>
    <row r="67" spans="1:7" x14ac:dyDescent="0.3">
      <c r="A67" s="6" t="s">
        <v>186</v>
      </c>
      <c r="B67" s="7" t="s">
        <v>187</v>
      </c>
      <c r="C67" s="8" t="s">
        <v>188</v>
      </c>
      <c r="D67" s="9" t="s">
        <v>189</v>
      </c>
      <c r="E67" s="2" t="s">
        <v>402</v>
      </c>
      <c r="F67" s="3">
        <v>3</v>
      </c>
      <c r="G67" s="2" t="s">
        <v>406</v>
      </c>
    </row>
    <row r="68" spans="1:7" x14ac:dyDescent="0.3">
      <c r="A68" s="6" t="s">
        <v>190</v>
      </c>
      <c r="B68" s="7" t="s">
        <v>191</v>
      </c>
      <c r="C68" s="8" t="s">
        <v>192</v>
      </c>
      <c r="D68" s="9" t="s">
        <v>193</v>
      </c>
      <c r="E68" s="2" t="s">
        <v>402</v>
      </c>
      <c r="F68" s="3">
        <v>3</v>
      </c>
      <c r="G68" s="2" t="s">
        <v>410</v>
      </c>
    </row>
    <row r="69" spans="1:7" x14ac:dyDescent="0.3">
      <c r="A69" s="6" t="s">
        <v>190</v>
      </c>
      <c r="B69" s="7" t="s">
        <v>194</v>
      </c>
      <c r="C69" s="8" t="s">
        <v>83</v>
      </c>
      <c r="D69" s="9" t="s">
        <v>195</v>
      </c>
      <c r="E69" s="2" t="s">
        <v>402</v>
      </c>
      <c r="F69" s="3">
        <v>3</v>
      </c>
      <c r="G69" s="2" t="s">
        <v>407</v>
      </c>
    </row>
    <row r="70" spans="1:7" x14ac:dyDescent="0.3">
      <c r="A70" s="6" t="s">
        <v>196</v>
      </c>
      <c r="B70" s="7" t="s">
        <v>197</v>
      </c>
      <c r="C70" s="8" t="s">
        <v>38</v>
      </c>
      <c r="D70" s="9" t="s">
        <v>198</v>
      </c>
      <c r="E70" s="2" t="s">
        <v>402</v>
      </c>
      <c r="F70" s="3">
        <v>1</v>
      </c>
      <c r="G70" s="2" t="s">
        <v>407</v>
      </c>
    </row>
    <row r="71" spans="1:7" x14ac:dyDescent="0.3">
      <c r="A71" s="6" t="s">
        <v>199</v>
      </c>
      <c r="B71" s="7" t="s">
        <v>200</v>
      </c>
      <c r="C71" s="8" t="s">
        <v>201</v>
      </c>
      <c r="D71" s="9" t="s">
        <v>202</v>
      </c>
      <c r="E71" s="2" t="s">
        <v>402</v>
      </c>
      <c r="F71" s="3">
        <v>3</v>
      </c>
      <c r="G71" s="2" t="s">
        <v>408</v>
      </c>
    </row>
    <row r="72" spans="1:7" x14ac:dyDescent="0.3">
      <c r="A72" s="6">
        <v>1863</v>
      </c>
      <c r="B72" s="7" t="s">
        <v>203</v>
      </c>
      <c r="C72" s="8" t="s">
        <v>42</v>
      </c>
      <c r="D72" s="9" t="s">
        <v>204</v>
      </c>
      <c r="E72" s="2" t="s">
        <v>402</v>
      </c>
      <c r="F72" s="3">
        <v>3</v>
      </c>
      <c r="G72" s="2" t="s">
        <v>410</v>
      </c>
    </row>
    <row r="73" spans="1:7" x14ac:dyDescent="0.3">
      <c r="A73" s="6" t="s">
        <v>205</v>
      </c>
      <c r="B73" s="7" t="s">
        <v>206</v>
      </c>
      <c r="C73" s="8" t="s">
        <v>83</v>
      </c>
      <c r="D73" s="9" t="s">
        <v>207</v>
      </c>
      <c r="E73" s="2" t="s">
        <v>402</v>
      </c>
      <c r="F73" s="3">
        <v>3</v>
      </c>
      <c r="G73" s="2" t="s">
        <v>407</v>
      </c>
    </row>
    <row r="74" spans="1:7" x14ac:dyDescent="0.3">
      <c r="A74" s="6" t="s">
        <v>208</v>
      </c>
      <c r="B74" s="7" t="s">
        <v>209</v>
      </c>
      <c r="C74" s="8" t="s">
        <v>83</v>
      </c>
      <c r="D74" s="9" t="s">
        <v>210</v>
      </c>
      <c r="E74" s="2" t="s">
        <v>402</v>
      </c>
      <c r="F74" s="3">
        <v>3</v>
      </c>
      <c r="G74" s="2" t="s">
        <v>407</v>
      </c>
    </row>
    <row r="75" spans="1:7" x14ac:dyDescent="0.3">
      <c r="A75" s="6" t="s">
        <v>211</v>
      </c>
      <c r="B75" s="7" t="s">
        <v>212</v>
      </c>
      <c r="C75" s="8" t="s">
        <v>213</v>
      </c>
      <c r="D75" s="9" t="s">
        <v>214</v>
      </c>
      <c r="E75" s="2" t="s">
        <v>402</v>
      </c>
      <c r="F75" s="3">
        <v>3</v>
      </c>
      <c r="G75" s="2" t="s">
        <v>406</v>
      </c>
    </row>
    <row r="76" spans="1:7" x14ac:dyDescent="0.3">
      <c r="A76" s="6" t="s">
        <v>215</v>
      </c>
      <c r="B76" s="7" t="s">
        <v>216</v>
      </c>
      <c r="C76" s="8" t="s">
        <v>217</v>
      </c>
      <c r="D76" s="9" t="s">
        <v>218</v>
      </c>
      <c r="E76" s="2" t="s">
        <v>402</v>
      </c>
      <c r="F76" s="3">
        <v>3</v>
      </c>
      <c r="G76" s="2" t="s">
        <v>407</v>
      </c>
    </row>
    <row r="77" spans="1:7" x14ac:dyDescent="0.3">
      <c r="A77" s="6" t="s">
        <v>219</v>
      </c>
      <c r="B77" s="7" t="s">
        <v>220</v>
      </c>
      <c r="C77" s="8" t="s">
        <v>213</v>
      </c>
      <c r="D77" s="9" t="s">
        <v>221</v>
      </c>
      <c r="E77" s="2" t="s">
        <v>402</v>
      </c>
      <c r="F77" s="3">
        <v>3</v>
      </c>
      <c r="G77" s="2" t="s">
        <v>406</v>
      </c>
    </row>
    <row r="78" spans="1:7" x14ac:dyDescent="0.3">
      <c r="A78" s="6" t="s">
        <v>222</v>
      </c>
      <c r="B78" s="7" t="s">
        <v>223</v>
      </c>
      <c r="C78" s="8" t="s">
        <v>224</v>
      </c>
      <c r="D78" s="9" t="s">
        <v>225</v>
      </c>
      <c r="E78" s="2" t="s">
        <v>402</v>
      </c>
      <c r="F78" s="3">
        <v>1</v>
      </c>
      <c r="G78" s="2" t="s">
        <v>411</v>
      </c>
    </row>
    <row r="79" spans="1:7" x14ac:dyDescent="0.3">
      <c r="A79" s="6" t="s">
        <v>226</v>
      </c>
      <c r="B79" s="7" t="s">
        <v>227</v>
      </c>
      <c r="C79" s="8" t="s">
        <v>83</v>
      </c>
      <c r="D79" s="9" t="s">
        <v>228</v>
      </c>
      <c r="E79" s="2" t="s">
        <v>402</v>
      </c>
      <c r="F79" s="3">
        <v>3</v>
      </c>
      <c r="G79" s="2" t="s">
        <v>407</v>
      </c>
    </row>
    <row r="80" spans="1:7" x14ac:dyDescent="0.3">
      <c r="A80" s="6" t="s">
        <v>229</v>
      </c>
      <c r="B80" s="7" t="s">
        <v>230</v>
      </c>
      <c r="C80" s="8" t="s">
        <v>20</v>
      </c>
      <c r="D80" s="9" t="s">
        <v>231</v>
      </c>
      <c r="E80" s="2" t="s">
        <v>402</v>
      </c>
      <c r="F80" s="3">
        <v>3</v>
      </c>
      <c r="G80" s="2" t="s">
        <v>410</v>
      </c>
    </row>
    <row r="81" spans="1:7" x14ac:dyDescent="0.3">
      <c r="A81" s="6" t="s">
        <v>232</v>
      </c>
      <c r="B81" s="7" t="s">
        <v>233</v>
      </c>
      <c r="C81" s="8" t="s">
        <v>234</v>
      </c>
      <c r="D81" s="9" t="s">
        <v>235</v>
      </c>
      <c r="E81" s="2" t="s">
        <v>402</v>
      </c>
      <c r="F81" s="3">
        <v>3</v>
      </c>
      <c r="G81" s="2" t="s">
        <v>407</v>
      </c>
    </row>
    <row r="82" spans="1:7" x14ac:dyDescent="0.3">
      <c r="A82" s="6" t="s">
        <v>236</v>
      </c>
      <c r="B82" s="7" t="s">
        <v>237</v>
      </c>
      <c r="C82" s="8" t="s">
        <v>20</v>
      </c>
      <c r="D82" s="9" t="s">
        <v>238</v>
      </c>
      <c r="E82" s="2" t="s">
        <v>402</v>
      </c>
      <c r="F82" s="3">
        <v>3</v>
      </c>
      <c r="G82" s="2" t="s">
        <v>410</v>
      </c>
    </row>
    <row r="83" spans="1:7" x14ac:dyDescent="0.3">
      <c r="A83" s="6" t="s">
        <v>236</v>
      </c>
      <c r="B83" s="7" t="s">
        <v>239</v>
      </c>
      <c r="C83" s="8" t="s">
        <v>240</v>
      </c>
      <c r="D83" s="9" t="s">
        <v>241</v>
      </c>
      <c r="E83" s="2" t="s">
        <v>402</v>
      </c>
      <c r="F83" s="3">
        <v>3</v>
      </c>
      <c r="G83" s="2" t="s">
        <v>408</v>
      </c>
    </row>
    <row r="84" spans="1:7" x14ac:dyDescent="0.3">
      <c r="A84" s="6" t="s">
        <v>242</v>
      </c>
      <c r="B84" s="7" t="s">
        <v>243</v>
      </c>
      <c r="C84" s="8" t="s">
        <v>20</v>
      </c>
      <c r="D84" s="9" t="s">
        <v>244</v>
      </c>
      <c r="E84" s="2" t="s">
        <v>402</v>
      </c>
      <c r="F84" s="3">
        <v>3</v>
      </c>
      <c r="G84" s="2" t="s">
        <v>410</v>
      </c>
    </row>
    <row r="85" spans="1:7" x14ac:dyDescent="0.3">
      <c r="A85" s="6" t="s">
        <v>242</v>
      </c>
      <c r="B85" s="7" t="s">
        <v>245</v>
      </c>
      <c r="C85" s="8" t="s">
        <v>20</v>
      </c>
      <c r="D85" s="9" t="s">
        <v>246</v>
      </c>
      <c r="E85" s="2" t="s">
        <v>402</v>
      </c>
      <c r="F85" s="3">
        <v>3</v>
      </c>
      <c r="G85" s="2" t="s">
        <v>410</v>
      </c>
    </row>
    <row r="86" spans="1:7" x14ac:dyDescent="0.3">
      <c r="A86" s="6" t="s">
        <v>242</v>
      </c>
      <c r="B86" s="7" t="s">
        <v>247</v>
      </c>
      <c r="C86" s="8" t="s">
        <v>20</v>
      </c>
      <c r="D86" s="9" t="s">
        <v>248</v>
      </c>
      <c r="E86" s="2" t="s">
        <v>402</v>
      </c>
      <c r="F86" s="3">
        <v>3</v>
      </c>
      <c r="G86" s="2" t="s">
        <v>410</v>
      </c>
    </row>
    <row r="87" spans="1:7" x14ac:dyDescent="0.3">
      <c r="A87" s="6" t="s">
        <v>242</v>
      </c>
      <c r="B87" s="7" t="s">
        <v>249</v>
      </c>
      <c r="C87" s="8" t="s">
        <v>250</v>
      </c>
      <c r="D87" s="9" t="s">
        <v>251</v>
      </c>
      <c r="E87" s="2" t="s">
        <v>402</v>
      </c>
      <c r="F87" s="3">
        <v>3</v>
      </c>
      <c r="G87" s="2" t="s">
        <v>408</v>
      </c>
    </row>
    <row r="88" spans="1:7" x14ac:dyDescent="0.3">
      <c r="A88" s="6" t="s">
        <v>242</v>
      </c>
      <c r="B88" s="7" t="s">
        <v>252</v>
      </c>
      <c r="C88" s="8" t="s">
        <v>42</v>
      </c>
      <c r="D88" s="9" t="s">
        <v>253</v>
      </c>
      <c r="E88" s="2" t="s">
        <v>402</v>
      </c>
      <c r="F88" s="3">
        <v>3</v>
      </c>
      <c r="G88" s="2" t="s">
        <v>410</v>
      </c>
    </row>
    <row r="89" spans="1:7" x14ac:dyDescent="0.3">
      <c r="A89" s="6">
        <v>1875</v>
      </c>
      <c r="B89" s="7" t="s">
        <v>254</v>
      </c>
      <c r="C89" s="8" t="s">
        <v>20</v>
      </c>
      <c r="D89" s="9" t="s">
        <v>255</v>
      </c>
      <c r="E89" s="2" t="s">
        <v>402</v>
      </c>
      <c r="F89" s="3">
        <v>3</v>
      </c>
      <c r="G89" s="2" t="s">
        <v>410</v>
      </c>
    </row>
    <row r="90" spans="1:7" x14ac:dyDescent="0.3">
      <c r="A90" s="6" t="s">
        <v>256</v>
      </c>
      <c r="B90" s="7" t="s">
        <v>257</v>
      </c>
      <c r="C90" s="8" t="s">
        <v>258</v>
      </c>
      <c r="D90" s="9" t="s">
        <v>259</v>
      </c>
      <c r="E90" s="2" t="s">
        <v>402</v>
      </c>
      <c r="F90" s="3">
        <v>3</v>
      </c>
      <c r="G90" s="2" t="s">
        <v>408</v>
      </c>
    </row>
    <row r="91" spans="1:7" x14ac:dyDescent="0.3">
      <c r="A91" s="6" t="s">
        <v>260</v>
      </c>
      <c r="B91" s="7" t="s">
        <v>261</v>
      </c>
      <c r="C91" s="8" t="s">
        <v>83</v>
      </c>
      <c r="D91" s="9" t="s">
        <v>262</v>
      </c>
      <c r="E91" s="2" t="s">
        <v>402</v>
      </c>
      <c r="F91" s="3">
        <v>3</v>
      </c>
      <c r="G91" s="2" t="s">
        <v>407</v>
      </c>
    </row>
    <row r="92" spans="1:7" x14ac:dyDescent="0.3">
      <c r="A92" s="6">
        <v>1880</v>
      </c>
      <c r="B92" s="7" t="s">
        <v>263</v>
      </c>
      <c r="C92" s="8" t="s">
        <v>264</v>
      </c>
      <c r="D92" s="9" t="s">
        <v>265</v>
      </c>
      <c r="E92" s="2" t="s">
        <v>402</v>
      </c>
      <c r="F92" s="3">
        <v>3</v>
      </c>
      <c r="G92" s="2" t="s">
        <v>410</v>
      </c>
    </row>
    <row r="93" spans="1:7" x14ac:dyDescent="0.3">
      <c r="A93" s="6" t="s">
        <v>266</v>
      </c>
      <c r="B93" s="7" t="s">
        <v>267</v>
      </c>
      <c r="C93" s="8" t="s">
        <v>8</v>
      </c>
      <c r="D93" s="9" t="s">
        <v>268</v>
      </c>
      <c r="E93" s="2" t="s">
        <v>403</v>
      </c>
    </row>
    <row r="94" spans="1:7" x14ac:dyDescent="0.3">
      <c r="A94" s="6" t="s">
        <v>269</v>
      </c>
      <c r="B94" s="7" t="s">
        <v>270</v>
      </c>
      <c r="C94" s="8" t="s">
        <v>271</v>
      </c>
      <c r="D94" s="9" t="s">
        <v>272</v>
      </c>
      <c r="E94" s="2" t="s">
        <v>402</v>
      </c>
      <c r="F94" s="3">
        <v>1</v>
      </c>
      <c r="G94" s="2" t="s">
        <v>413</v>
      </c>
    </row>
    <row r="95" spans="1:7" x14ac:dyDescent="0.3">
      <c r="A95" s="6" t="s">
        <v>273</v>
      </c>
      <c r="B95" s="7" t="s">
        <v>274</v>
      </c>
      <c r="C95" s="8" t="s">
        <v>34</v>
      </c>
      <c r="D95" s="9" t="s">
        <v>275</v>
      </c>
      <c r="E95" s="2" t="s">
        <v>402</v>
      </c>
      <c r="F95" s="3">
        <v>2</v>
      </c>
      <c r="G95" s="2" t="s">
        <v>409</v>
      </c>
    </row>
    <row r="96" spans="1:7" x14ac:dyDescent="0.3">
      <c r="A96" s="6" t="s">
        <v>273</v>
      </c>
      <c r="B96" s="7" t="s">
        <v>276</v>
      </c>
      <c r="C96" s="8" t="s">
        <v>42</v>
      </c>
      <c r="D96" s="9" t="s">
        <v>277</v>
      </c>
      <c r="E96" s="2" t="s">
        <v>402</v>
      </c>
      <c r="F96" s="3">
        <v>3</v>
      </c>
      <c r="G96" s="2" t="s">
        <v>410</v>
      </c>
    </row>
    <row r="97" spans="1:7" x14ac:dyDescent="0.3">
      <c r="A97" s="6" t="s">
        <v>273</v>
      </c>
      <c r="B97" s="7" t="s">
        <v>278</v>
      </c>
      <c r="C97" s="8" t="s">
        <v>34</v>
      </c>
      <c r="D97" s="9" t="s">
        <v>279</v>
      </c>
      <c r="E97" s="2" t="s">
        <v>402</v>
      </c>
      <c r="F97" s="3">
        <v>2</v>
      </c>
      <c r="G97" s="2" t="s">
        <v>409</v>
      </c>
    </row>
    <row r="98" spans="1:7" x14ac:dyDescent="0.3">
      <c r="A98" s="6" t="s">
        <v>280</v>
      </c>
      <c r="B98" s="7" t="s">
        <v>281</v>
      </c>
      <c r="C98" s="8" t="s">
        <v>83</v>
      </c>
      <c r="D98" s="9" t="s">
        <v>282</v>
      </c>
      <c r="E98" s="2" t="s">
        <v>402</v>
      </c>
      <c r="F98" s="3">
        <v>3</v>
      </c>
      <c r="G98" s="2" t="s">
        <v>407</v>
      </c>
    </row>
    <row r="99" spans="1:7" x14ac:dyDescent="0.3">
      <c r="A99" s="6" t="s">
        <v>283</v>
      </c>
      <c r="B99" s="7" t="s">
        <v>284</v>
      </c>
      <c r="C99" s="8" t="s">
        <v>20</v>
      </c>
      <c r="D99" s="9" t="s">
        <v>285</v>
      </c>
      <c r="E99" s="2" t="s">
        <v>402</v>
      </c>
      <c r="F99" s="3">
        <v>3</v>
      </c>
      <c r="G99" s="2" t="s">
        <v>410</v>
      </c>
    </row>
    <row r="100" spans="1:7" x14ac:dyDescent="0.3">
      <c r="A100" s="6" t="s">
        <v>283</v>
      </c>
      <c r="B100" s="7" t="s">
        <v>286</v>
      </c>
      <c r="C100" s="8" t="s">
        <v>287</v>
      </c>
      <c r="D100" s="9" t="s">
        <v>288</v>
      </c>
      <c r="E100" s="2" t="s">
        <v>402</v>
      </c>
      <c r="F100" s="3">
        <v>1</v>
      </c>
      <c r="G100" s="2" t="s">
        <v>411</v>
      </c>
    </row>
    <row r="101" spans="1:7" x14ac:dyDescent="0.3">
      <c r="A101" s="6" t="s">
        <v>289</v>
      </c>
      <c r="B101" s="7" t="s">
        <v>290</v>
      </c>
      <c r="C101" s="8" t="s">
        <v>8</v>
      </c>
      <c r="D101" s="9" t="s">
        <v>291</v>
      </c>
      <c r="E101" s="2" t="s">
        <v>403</v>
      </c>
    </row>
    <row r="102" spans="1:7" x14ac:dyDescent="0.3">
      <c r="A102" s="6" t="s">
        <v>292</v>
      </c>
      <c r="B102" s="7" t="s">
        <v>293</v>
      </c>
      <c r="C102" s="8" t="s">
        <v>83</v>
      </c>
      <c r="D102" s="9" t="s">
        <v>294</v>
      </c>
      <c r="E102" s="2" t="s">
        <v>402</v>
      </c>
      <c r="F102" s="3">
        <v>3</v>
      </c>
      <c r="G102" s="2" t="s">
        <v>407</v>
      </c>
    </row>
    <row r="103" spans="1:7" x14ac:dyDescent="0.3">
      <c r="A103" s="6" t="s">
        <v>295</v>
      </c>
      <c r="B103" s="7" t="s">
        <v>296</v>
      </c>
      <c r="C103" s="8" t="s">
        <v>8</v>
      </c>
      <c r="D103" s="9" t="s">
        <v>297</v>
      </c>
      <c r="E103" s="2" t="s">
        <v>403</v>
      </c>
    </row>
    <row r="104" spans="1:7" x14ac:dyDescent="0.3">
      <c r="A104" s="6" t="s">
        <v>295</v>
      </c>
      <c r="B104" s="7" t="s">
        <v>298</v>
      </c>
      <c r="C104" s="8" t="s">
        <v>34</v>
      </c>
      <c r="D104" s="9" t="s">
        <v>299</v>
      </c>
      <c r="E104" s="2" t="s">
        <v>402</v>
      </c>
      <c r="F104" s="3">
        <v>2</v>
      </c>
      <c r="G104" s="2" t="s">
        <v>409</v>
      </c>
    </row>
    <row r="105" spans="1:7" x14ac:dyDescent="0.3">
      <c r="A105" s="6" t="s">
        <v>295</v>
      </c>
      <c r="B105" s="7" t="s">
        <v>300</v>
      </c>
      <c r="C105" s="8" t="s">
        <v>224</v>
      </c>
      <c r="D105" s="9" t="s">
        <v>301</v>
      </c>
      <c r="E105" s="2" t="s">
        <v>402</v>
      </c>
      <c r="F105" s="3">
        <v>3</v>
      </c>
      <c r="G105" s="2" t="s">
        <v>411</v>
      </c>
    </row>
    <row r="106" spans="1:7" x14ac:dyDescent="0.3">
      <c r="A106" s="6" t="s">
        <v>302</v>
      </c>
      <c r="B106" s="7" t="s">
        <v>303</v>
      </c>
      <c r="C106" s="8" t="s">
        <v>304</v>
      </c>
      <c r="D106" s="9" t="s">
        <v>305</v>
      </c>
      <c r="E106" s="2" t="s">
        <v>402</v>
      </c>
      <c r="F106" s="3">
        <v>1</v>
      </c>
      <c r="G106" s="2" t="s">
        <v>413</v>
      </c>
    </row>
    <row r="107" spans="1:7" x14ac:dyDescent="0.3">
      <c r="A107" s="6" t="s">
        <v>306</v>
      </c>
      <c r="B107" s="7" t="s">
        <v>307</v>
      </c>
      <c r="C107" s="8" t="s">
        <v>83</v>
      </c>
      <c r="D107" s="9" t="s">
        <v>308</v>
      </c>
      <c r="E107" s="2" t="s">
        <v>402</v>
      </c>
      <c r="F107" s="3">
        <v>3</v>
      </c>
      <c r="G107" s="2" t="s">
        <v>407</v>
      </c>
    </row>
    <row r="108" spans="1:7" x14ac:dyDescent="0.3">
      <c r="A108" s="6" t="s">
        <v>309</v>
      </c>
      <c r="B108" s="7" t="s">
        <v>310</v>
      </c>
      <c r="C108" s="8" t="s">
        <v>311</v>
      </c>
      <c r="D108" s="9" t="s">
        <v>312</v>
      </c>
      <c r="E108" s="2" t="s">
        <v>402</v>
      </c>
      <c r="F108" s="3">
        <v>2</v>
      </c>
      <c r="G108" s="2" t="s">
        <v>414</v>
      </c>
    </row>
    <row r="109" spans="1:7" x14ac:dyDescent="0.3">
      <c r="A109" s="6" t="s">
        <v>313</v>
      </c>
      <c r="B109" s="7" t="s">
        <v>314</v>
      </c>
      <c r="C109" s="8" t="s">
        <v>315</v>
      </c>
      <c r="D109" s="9" t="s">
        <v>316</v>
      </c>
      <c r="E109" s="2" t="s">
        <v>402</v>
      </c>
      <c r="F109" s="3">
        <v>3</v>
      </c>
      <c r="G109" s="2" t="s">
        <v>406</v>
      </c>
    </row>
    <row r="110" spans="1:7" x14ac:dyDescent="0.3">
      <c r="A110" s="6">
        <v>1884</v>
      </c>
      <c r="B110" s="7" t="s">
        <v>317</v>
      </c>
      <c r="C110" s="8" t="s">
        <v>8</v>
      </c>
      <c r="D110" s="9" t="s">
        <v>318</v>
      </c>
      <c r="E110" s="2" t="s">
        <v>403</v>
      </c>
    </row>
    <row r="111" spans="1:7" x14ac:dyDescent="0.3">
      <c r="A111" s="6" t="s">
        <v>319</v>
      </c>
      <c r="B111" s="7" t="s">
        <v>320</v>
      </c>
      <c r="C111" s="8" t="s">
        <v>8</v>
      </c>
      <c r="D111" s="9" t="s">
        <v>321</v>
      </c>
      <c r="E111" s="2" t="s">
        <v>403</v>
      </c>
    </row>
    <row r="112" spans="1:7" x14ac:dyDescent="0.3">
      <c r="A112" s="6" t="s">
        <v>319</v>
      </c>
      <c r="B112" s="7" t="s">
        <v>322</v>
      </c>
      <c r="C112" s="8" t="s">
        <v>8</v>
      </c>
      <c r="D112" s="9" t="s">
        <v>323</v>
      </c>
      <c r="E112" s="2" t="s">
        <v>403</v>
      </c>
    </row>
    <row r="113" spans="1:7" x14ac:dyDescent="0.3">
      <c r="A113" s="6" t="s">
        <v>324</v>
      </c>
      <c r="B113" s="7" t="s">
        <v>325</v>
      </c>
      <c r="C113" s="8" t="s">
        <v>53</v>
      </c>
      <c r="D113" s="9" t="s">
        <v>326</v>
      </c>
      <c r="E113" s="2" t="s">
        <v>402</v>
      </c>
      <c r="F113" s="3">
        <v>3</v>
      </c>
      <c r="G113" s="2" t="s">
        <v>406</v>
      </c>
    </row>
    <row r="114" spans="1:7" x14ac:dyDescent="0.3">
      <c r="A114" s="6" t="s">
        <v>327</v>
      </c>
      <c r="B114" s="7" t="s">
        <v>328</v>
      </c>
      <c r="C114" s="8" t="s">
        <v>20</v>
      </c>
      <c r="D114" s="9" t="s">
        <v>329</v>
      </c>
      <c r="E114" s="2" t="s">
        <v>402</v>
      </c>
      <c r="F114" s="3">
        <v>3</v>
      </c>
      <c r="G114" s="2" t="s">
        <v>410</v>
      </c>
    </row>
    <row r="115" spans="1:7" x14ac:dyDescent="0.3">
      <c r="A115" s="6" t="s">
        <v>327</v>
      </c>
      <c r="B115" s="7" t="s">
        <v>330</v>
      </c>
      <c r="C115" s="8" t="s">
        <v>83</v>
      </c>
      <c r="D115" s="9" t="s">
        <v>331</v>
      </c>
      <c r="E115" s="2" t="s">
        <v>402</v>
      </c>
      <c r="F115" s="3">
        <v>3</v>
      </c>
      <c r="G115" s="2" t="s">
        <v>407</v>
      </c>
    </row>
    <row r="116" spans="1:7" x14ac:dyDescent="0.3">
      <c r="A116" s="6" t="s">
        <v>327</v>
      </c>
      <c r="B116" s="7" t="s">
        <v>332</v>
      </c>
      <c r="C116" s="8" t="s">
        <v>53</v>
      </c>
      <c r="D116" s="9" t="s">
        <v>333</v>
      </c>
      <c r="E116" s="2" t="s">
        <v>402</v>
      </c>
      <c r="F116" s="3">
        <v>3</v>
      </c>
      <c r="G116" s="2" t="s">
        <v>406</v>
      </c>
    </row>
    <row r="117" spans="1:7" x14ac:dyDescent="0.3">
      <c r="A117" s="6" t="s">
        <v>327</v>
      </c>
      <c r="B117" s="7" t="s">
        <v>334</v>
      </c>
      <c r="C117" s="8" t="s">
        <v>53</v>
      </c>
      <c r="D117" s="9" t="s">
        <v>335</v>
      </c>
      <c r="E117" s="2" t="s">
        <v>402</v>
      </c>
      <c r="F117" s="3">
        <v>3</v>
      </c>
      <c r="G117" s="2" t="s">
        <v>406</v>
      </c>
    </row>
    <row r="118" spans="1:7" x14ac:dyDescent="0.3">
      <c r="A118" s="6" t="s">
        <v>327</v>
      </c>
      <c r="B118" s="7" t="s">
        <v>336</v>
      </c>
      <c r="C118" s="8" t="s">
        <v>53</v>
      </c>
      <c r="D118" s="9" t="s">
        <v>337</v>
      </c>
      <c r="E118" s="2" t="s">
        <v>402</v>
      </c>
      <c r="F118" s="3">
        <v>3</v>
      </c>
      <c r="G118" s="2" t="s">
        <v>406</v>
      </c>
    </row>
    <row r="119" spans="1:7" x14ac:dyDescent="0.3">
      <c r="A119" s="6" t="s">
        <v>327</v>
      </c>
      <c r="B119" s="7" t="s">
        <v>338</v>
      </c>
      <c r="C119" s="8" t="s">
        <v>24</v>
      </c>
      <c r="D119" s="9" t="s">
        <v>339</v>
      </c>
      <c r="E119" s="2" t="s">
        <v>402</v>
      </c>
      <c r="F119" s="3">
        <v>3</v>
      </c>
      <c r="G119" s="2" t="s">
        <v>406</v>
      </c>
    </row>
    <row r="120" spans="1:7" x14ac:dyDescent="0.3">
      <c r="A120" s="6" t="s">
        <v>327</v>
      </c>
      <c r="B120" s="7" t="s">
        <v>340</v>
      </c>
      <c r="C120" s="8" t="s">
        <v>53</v>
      </c>
      <c r="D120" s="9" t="s">
        <v>341</v>
      </c>
      <c r="E120" s="2" t="s">
        <v>402</v>
      </c>
      <c r="F120" s="3">
        <v>3</v>
      </c>
      <c r="G120" s="2" t="s">
        <v>406</v>
      </c>
    </row>
    <row r="121" spans="1:7" x14ac:dyDescent="0.3">
      <c r="A121" s="6" t="s">
        <v>342</v>
      </c>
      <c r="B121" s="7" t="s">
        <v>343</v>
      </c>
      <c r="C121" s="8" t="s">
        <v>8</v>
      </c>
      <c r="D121" s="9" t="s">
        <v>344</v>
      </c>
      <c r="E121" s="2" t="s">
        <v>403</v>
      </c>
    </row>
    <row r="122" spans="1:7" x14ac:dyDescent="0.3">
      <c r="A122" s="6" t="s">
        <v>345</v>
      </c>
      <c r="B122" s="7" t="s">
        <v>346</v>
      </c>
      <c r="C122" s="8" t="s">
        <v>8</v>
      </c>
      <c r="D122" s="9" t="s">
        <v>347</v>
      </c>
      <c r="E122" s="2" t="s">
        <v>403</v>
      </c>
    </row>
    <row r="123" spans="1:7" x14ac:dyDescent="0.3">
      <c r="A123" s="6" t="s">
        <v>345</v>
      </c>
      <c r="B123" s="7" t="s">
        <v>348</v>
      </c>
      <c r="C123" s="8" t="s">
        <v>349</v>
      </c>
      <c r="D123" s="9" t="s">
        <v>350</v>
      </c>
      <c r="E123" s="2" t="s">
        <v>402</v>
      </c>
      <c r="F123" s="3">
        <v>1</v>
      </c>
      <c r="G123" s="2" t="s">
        <v>413</v>
      </c>
    </row>
    <row r="124" spans="1:7" x14ac:dyDescent="0.3">
      <c r="A124" s="6" t="s">
        <v>351</v>
      </c>
      <c r="B124" s="7" t="s">
        <v>352</v>
      </c>
      <c r="C124" s="8" t="s">
        <v>83</v>
      </c>
      <c r="D124" s="9" t="s">
        <v>353</v>
      </c>
      <c r="E124" s="2" t="s">
        <v>402</v>
      </c>
      <c r="F124" s="3">
        <v>3</v>
      </c>
      <c r="G124" s="2" t="s">
        <v>407</v>
      </c>
    </row>
    <row r="125" spans="1:7" x14ac:dyDescent="0.3">
      <c r="A125" s="6" t="s">
        <v>354</v>
      </c>
      <c r="B125" s="7" t="s">
        <v>355</v>
      </c>
      <c r="C125" s="8" t="s">
        <v>356</v>
      </c>
      <c r="D125" s="9" t="s">
        <v>357</v>
      </c>
      <c r="E125" s="2" t="s">
        <v>402</v>
      </c>
      <c r="F125" s="3">
        <v>3</v>
      </c>
      <c r="G125" s="2" t="s">
        <v>406</v>
      </c>
    </row>
    <row r="126" spans="1:7" x14ac:dyDescent="0.3">
      <c r="A126" s="6" t="s">
        <v>358</v>
      </c>
      <c r="B126" s="7" t="s">
        <v>359</v>
      </c>
      <c r="C126" s="8" t="s">
        <v>83</v>
      </c>
      <c r="D126" s="9" t="s">
        <v>360</v>
      </c>
      <c r="E126" s="2" t="s">
        <v>402</v>
      </c>
      <c r="F126" s="3">
        <v>3</v>
      </c>
      <c r="G126" s="2" t="s">
        <v>407</v>
      </c>
    </row>
    <row r="127" spans="1:7" x14ac:dyDescent="0.3">
      <c r="A127" s="6">
        <v>1889</v>
      </c>
      <c r="B127" s="7" t="s">
        <v>361</v>
      </c>
      <c r="C127" s="8" t="s">
        <v>20</v>
      </c>
      <c r="D127" s="9" t="s">
        <v>362</v>
      </c>
      <c r="E127" s="2" t="s">
        <v>402</v>
      </c>
      <c r="F127" s="3">
        <v>3</v>
      </c>
      <c r="G127" s="2" t="s">
        <v>410</v>
      </c>
    </row>
    <row r="128" spans="1:7" x14ac:dyDescent="0.3">
      <c r="A128" s="6">
        <v>1889</v>
      </c>
      <c r="B128" s="7" t="s">
        <v>363</v>
      </c>
      <c r="C128" s="8" t="s">
        <v>20</v>
      </c>
      <c r="D128" s="9" t="s">
        <v>364</v>
      </c>
      <c r="E128" s="2" t="s">
        <v>402</v>
      </c>
      <c r="F128" s="3">
        <v>3</v>
      </c>
      <c r="G128" s="2" t="s">
        <v>410</v>
      </c>
    </row>
    <row r="129" spans="1:7" x14ac:dyDescent="0.3">
      <c r="A129" s="6" t="s">
        <v>365</v>
      </c>
      <c r="B129" s="7" t="s">
        <v>366</v>
      </c>
      <c r="C129" s="8" t="s">
        <v>83</v>
      </c>
      <c r="D129" s="9" t="s">
        <v>367</v>
      </c>
      <c r="E129" s="2" t="s">
        <v>402</v>
      </c>
      <c r="F129" s="3">
        <v>3</v>
      </c>
      <c r="G129" s="2" t="s">
        <v>407</v>
      </c>
    </row>
    <row r="130" spans="1:7" x14ac:dyDescent="0.3">
      <c r="A130" s="6" t="s">
        <v>368</v>
      </c>
      <c r="B130" s="7" t="s">
        <v>369</v>
      </c>
      <c r="C130" s="8" t="s">
        <v>53</v>
      </c>
      <c r="D130" s="9" t="s">
        <v>370</v>
      </c>
      <c r="E130" s="2" t="s">
        <v>402</v>
      </c>
      <c r="F130" s="3">
        <v>3</v>
      </c>
      <c r="G130" s="2" t="s">
        <v>406</v>
      </c>
    </row>
    <row r="131" spans="1:7" x14ac:dyDescent="0.3">
      <c r="A131" s="6">
        <v>1892</v>
      </c>
      <c r="B131" s="7" t="s">
        <v>371</v>
      </c>
      <c r="C131" s="8" t="s">
        <v>372</v>
      </c>
      <c r="D131" s="9" t="s">
        <v>373</v>
      </c>
      <c r="E131" s="2" t="s">
        <v>402</v>
      </c>
      <c r="F131" s="3">
        <v>3</v>
      </c>
      <c r="G131" s="2" t="s">
        <v>406</v>
      </c>
    </row>
    <row r="132" spans="1:7" x14ac:dyDescent="0.3">
      <c r="A132" s="6" t="s">
        <v>374</v>
      </c>
      <c r="B132" s="7" t="s">
        <v>375</v>
      </c>
      <c r="C132" s="8" t="s">
        <v>2</v>
      </c>
      <c r="D132" s="9" t="s">
        <v>376</v>
      </c>
      <c r="E132" s="2" t="s">
        <v>402</v>
      </c>
      <c r="F132" s="3">
        <v>3</v>
      </c>
      <c r="G132" s="2" t="s">
        <v>406</v>
      </c>
    </row>
    <row r="133" spans="1:7" x14ac:dyDescent="0.3">
      <c r="A133" s="6">
        <v>1893</v>
      </c>
      <c r="B133" s="7" t="s">
        <v>377</v>
      </c>
      <c r="C133" s="8" t="s">
        <v>83</v>
      </c>
      <c r="D133" s="9" t="s">
        <v>378</v>
      </c>
      <c r="E133" s="2" t="s">
        <v>402</v>
      </c>
      <c r="F133" s="3">
        <v>3</v>
      </c>
      <c r="G133" s="2" t="s">
        <v>407</v>
      </c>
    </row>
    <row r="134" spans="1:7" x14ac:dyDescent="0.3">
      <c r="A134" s="6" t="s">
        <v>379</v>
      </c>
      <c r="B134" s="7" t="s">
        <v>380</v>
      </c>
      <c r="C134" s="8" t="s">
        <v>42</v>
      </c>
      <c r="D134" s="9" t="s">
        <v>381</v>
      </c>
      <c r="E134" s="2" t="s">
        <v>402</v>
      </c>
      <c r="F134" s="3">
        <v>3</v>
      </c>
      <c r="G134" s="2" t="s">
        <v>410</v>
      </c>
    </row>
    <row r="135" spans="1:7" x14ac:dyDescent="0.3">
      <c r="A135" s="6" t="s">
        <v>382</v>
      </c>
      <c r="B135" s="7" t="s">
        <v>383</v>
      </c>
      <c r="C135" s="8" t="s">
        <v>28</v>
      </c>
      <c r="D135" s="9" t="s">
        <v>384</v>
      </c>
      <c r="E135" s="2" t="s">
        <v>402</v>
      </c>
      <c r="F135" s="3">
        <v>3</v>
      </c>
      <c r="G135" s="2" t="s">
        <v>408</v>
      </c>
    </row>
    <row r="136" spans="1:7" x14ac:dyDescent="0.3">
      <c r="A136" s="6" t="s">
        <v>385</v>
      </c>
      <c r="B136" s="7" t="s">
        <v>386</v>
      </c>
      <c r="C136" s="8" t="s">
        <v>83</v>
      </c>
      <c r="D136" s="9" t="s">
        <v>387</v>
      </c>
      <c r="E136" s="2" t="s">
        <v>402</v>
      </c>
      <c r="F136" s="3">
        <v>3</v>
      </c>
      <c r="G136" s="2" t="s">
        <v>407</v>
      </c>
    </row>
    <row r="137" spans="1:7" x14ac:dyDescent="0.3">
      <c r="A137" s="6" t="s">
        <v>388</v>
      </c>
      <c r="B137" s="7" t="s">
        <v>389</v>
      </c>
      <c r="C137" s="8" t="s">
        <v>8</v>
      </c>
      <c r="D137" s="9" t="s">
        <v>390</v>
      </c>
      <c r="E137" s="2" t="s">
        <v>403</v>
      </c>
    </row>
    <row r="138" spans="1:7" x14ac:dyDescent="0.3">
      <c r="A138" s="6" t="s">
        <v>391</v>
      </c>
      <c r="B138" s="7" t="s">
        <v>392</v>
      </c>
      <c r="C138" s="8" t="s">
        <v>42</v>
      </c>
      <c r="D138" s="9" t="s">
        <v>393</v>
      </c>
      <c r="E138" s="2" t="s">
        <v>402</v>
      </c>
      <c r="F138" s="3">
        <v>3</v>
      </c>
      <c r="G138" s="2" t="s">
        <v>410</v>
      </c>
    </row>
    <row r="139" spans="1:7" x14ac:dyDescent="0.3">
      <c r="A139" s="6" t="s">
        <v>394</v>
      </c>
      <c r="B139" s="7" t="s">
        <v>395</v>
      </c>
      <c r="C139" s="8" t="s">
        <v>83</v>
      </c>
      <c r="D139" s="9" t="s">
        <v>396</v>
      </c>
      <c r="E139" s="2" t="s">
        <v>402</v>
      </c>
      <c r="F139" s="3">
        <v>3</v>
      </c>
      <c r="G139" s="2" t="s">
        <v>407</v>
      </c>
    </row>
    <row r="140" spans="1:7" x14ac:dyDescent="0.3">
      <c r="A140" s="6">
        <v>1899</v>
      </c>
      <c r="B140" s="7" t="s">
        <v>397</v>
      </c>
      <c r="C140" s="8" t="s">
        <v>398</v>
      </c>
      <c r="D140" s="9" t="s">
        <v>399</v>
      </c>
      <c r="E140" s="2" t="s">
        <v>402</v>
      </c>
      <c r="F140" s="3">
        <v>1</v>
      </c>
      <c r="G140" s="2" t="s">
        <v>413</v>
      </c>
    </row>
    <row r="141" spans="1:7" x14ac:dyDescent="0.3">
      <c r="A141" s="6">
        <v>1899</v>
      </c>
      <c r="B141" s="7" t="s">
        <v>400</v>
      </c>
      <c r="C141" s="8" t="s">
        <v>83</v>
      </c>
      <c r="D141" s="9" t="s">
        <v>401</v>
      </c>
      <c r="E141" s="2" t="s">
        <v>402</v>
      </c>
      <c r="F141" s="3">
        <v>3</v>
      </c>
      <c r="G141" s="2" t="s">
        <v>407</v>
      </c>
    </row>
    <row r="142" spans="1:7" x14ac:dyDescent="0.3">
      <c r="A142" s="6"/>
      <c r="B142" s="11"/>
      <c r="C142" s="11"/>
      <c r="D142" s="11"/>
    </row>
  </sheetData>
  <pageMargins left="0.70866141732283472" right="0.70866141732283472" top="0.74803149606299213" bottom="0.74803149606299213" header="0.31496062992125984" footer="0.31496062992125984"/>
  <pageSetup paperSize="9" scale="3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2025-01-12T10:45:42Z</cp:lastPrinted>
  <dcterms:created xsi:type="dcterms:W3CDTF">2024-08-03T10:26:01Z</dcterms:created>
  <dcterms:modified xsi:type="dcterms:W3CDTF">2026-03-27T20:22:28Z</dcterms:modified>
</cp:coreProperties>
</file>