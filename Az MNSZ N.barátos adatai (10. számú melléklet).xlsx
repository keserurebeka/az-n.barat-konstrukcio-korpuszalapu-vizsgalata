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8E2AEA68-0323-4104-8453-43E280B11C67}" xr6:coauthVersionLast="47" xr6:coauthVersionMax="47" xr10:uidLastSave="{00000000-0000-0000-0000-000000000000}"/>
  <bookViews>
    <workbookView xWindow="-108" yWindow="-108" windowWidth="23256" windowHeight="12456" xr2:uid="{FF0405C6-5033-4FF8-82F7-68B6F85E3EF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7" i="1"/>
  <c r="I6" i="1"/>
</calcChain>
</file>

<file path=xl/sharedStrings.xml><?xml version="1.0" encoding="utf-8"?>
<sst xmlns="http://schemas.openxmlformats.org/spreadsheetml/2006/main" count="218" uniqueCount="124">
  <si>
    <t>#8171001</t>
  </si>
  <si>
    <t>#45401011</t>
  </si>
  <si>
    <t>#45815611</t>
  </si>
  <si>
    <t>#96220404</t>
  </si>
  <si>
    <t>#106127423</t>
  </si>
  <si>
    <t>#220007419</t>
  </si>
  <si>
    <t>#257813918</t>
  </si>
  <si>
    <t>#268385484</t>
  </si>
  <si>
    <t>#268907701</t>
  </si>
  <si>
    <t>#269529879</t>
  </si>
  <si>
    <t>#529772979</t>
  </si>
  <si>
    <t>#684523094</t>
  </si>
  <si>
    <t>#684523108</t>
  </si>
  <si>
    <t>#684528905</t>
  </si>
  <si>
    <t>#685285288</t>
  </si>
  <si>
    <t>#687960527</t>
  </si>
  <si>
    <t>#745989137</t>
  </si>
  <si>
    <t>#745989245</t>
  </si>
  <si>
    <t>#745989284</t>
  </si>
  <si>
    <t>#746000767</t>
  </si>
  <si>
    <t>#804235877</t>
  </si>
  <si>
    <t>#812799751</t>
  </si>
  <si>
    <t>#821728736</t>
  </si>
  <si>
    <t>#846216906</t>
  </si>
  <si>
    <t>#915700688</t>
  </si>
  <si>
    <t>#915700737</t>
  </si>
  <si>
    <t>#915700764</t>
  </si>
  <si>
    <t>#915700800</t>
  </si>
  <si>
    <t>#1036321108</t>
  </si>
  <si>
    <t>#1113800733</t>
  </si>
  <si>
    <t>#1118281812</t>
  </si>
  <si>
    <t>#1124154452</t>
  </si>
  <si>
    <t>#1132989546</t>
  </si>
  <si>
    <t>#1136307902</t>
  </si>
  <si>
    <t>ezt a férfit, és az Ég is szeret münket és</t>
  </si>
  <si>
    <t>felebarátosainkat</t>
  </si>
  <si>
    <r>
      <t>...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Illetlen fecskendős-autó elül</t>
    </r>
  </si>
  <si>
    <t>Valamelyik esztendőben erdőt vásárolt az öreg</t>
  </si>
  <si>
    <t>Barátos</t>
  </si>
  <si>
    <t>. Ott vette fenn a Hargitán, ahol két vármegye</t>
  </si>
  <si>
    <t>azt mondta rea, hogy: ne féjetek, mert én</t>
  </si>
  <si>
    <t>jóbarátos</t>
  </si>
  <si>
    <r>
      <t>vagyok a tűzzel.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Gazsihoz. FALUSI BÍRÓ</t>
    </r>
  </si>
  <si>
    <t>Leha, a kérdésed ugyan tetszetős, meg olyan</t>
  </si>
  <si>
    <t>állatbarátosnak</t>
  </si>
  <si>
    <t>is tűnik, de a kutya az ember mellett érzi</t>
  </si>
  <si>
    <t>nem igazán számít a színe. Inkább az íze.</t>
  </si>
  <si>
    <t>Barátosaimmal</t>
  </si>
  <si>
    <t>elég sűrűn megfordulunk egy BORPATIKA nevezetű</t>
  </si>
  <si>
    <t>Komandó kapott 30-30 milliót, a Köröspataknak,</t>
  </si>
  <si>
    <t>Barátosnak</t>
  </si>
  <si>
    <t>, Előpataknak kiosztott csekély összeg inkább</t>
  </si>
  <si>
    <t>14-et Papolcról, 15-öt Csomakőrösről, 7-et</t>
  </si>
  <si>
    <t>Barátosról</t>
  </si>
  <si>
    <r>
      <t>, 6-ot Pákéról és 20-at Kovásznáról. </t>
    </r>
    <r>
      <rPr>
        <i/>
        <sz val="7"/>
        <color rgb="FF008000"/>
        <rFont val="Trebuchet MS"/>
        <family val="2"/>
        <charset val="238"/>
      </rPr>
      <t>&lt;/p&gt;</t>
    </r>
  </si>
  <si>
    <t>a végén kiderül, hogy szeretnünk is kéne</t>
  </si>
  <si>
    <t>felebarátosunkat</t>
  </si>
  <si>
    <r>
      <t>, mint tenmagunkat.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Ez valóban túl</t>
    </r>
  </si>
  <si>
    <t>hazudott, alakoskodott, fizetett, szerette</t>
  </si>
  <si>
    <t>felebarátosát</t>
  </si>
  <si>
    <t>, mint önmagát, föláldozta az ebédidejét</t>
  </si>
  <si>
    <t>visszatértem ahhoz a mondatomhoz, hogy szeressem</t>
  </si>
  <si>
    <t>felebarátosomat</t>
  </si>
  <si>
    <t>, mint tenmagamat) - szóval Posipal brutálisan</t>
  </si>
  <si>
    <r>
      <t>a felmérésben.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Rosszul sültek el a</t>
    </r>
  </si>
  <si>
    <t>szexviccek Fekete komédia kevés politikával</t>
  </si>
  <si>
    <r>
      <t>hírcsatorna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valentinw Rosszul sültek el a</t>
    </r>
  </si>
  <si>
    <r>
      <t>szexviccek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Újra bíróság elé idézhetik</t>
    </r>
  </si>
  <si>
    <t>szexvideó Hiltontól Rosszul sültek el a</t>
  </si>
  <si>
    <t>szexviccek Durván mesélt szexélmény sújtja</t>
  </si>
  <si>
    <t>kellőképpen jövedelmezett. Bár az igaz, hogy a</t>
  </si>
  <si>
    <t>1 milliós részenkénti fizetéséről le kellett</t>
  </si>
  <si>
    <t>sorozatokban a felállás nem feltétlenül</t>
  </si>
  <si>
    <t>lesz, amiben idővel mindenki összejöhet</t>
  </si>
  <si>
    <t>keletre a Feketeügy bal partján fekszik.</t>
  </si>
  <si>
    <t>Barátoshoz</t>
  </si>
  <si>
    <t>tartozik, tőle 2 km-re északnyugatra van</t>
  </si>
  <si>
    <r>
      <t>Középhatár, 3. Alsóhatár.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1. Felsőhatár: A</t>
    </r>
  </si>
  <si>
    <t>felé vezető úttól a Pók-árkáig (Szék-,</t>
  </si>
  <si>
    <t>Középhatár: A Kerek-nád útjától, a Pók-árka és</t>
  </si>
  <si>
    <t>felé vezető útig, és a Fekete-ügyig kiterjedő</t>
  </si>
  <si>
    <t>délre a Kovászna-patak partján fekszik.</t>
  </si>
  <si>
    <t>tartozik, tőle 3 km-re keletre van. </t>
  </si>
  <si>
    <t>vidék népköltészetét (Duka János: Üti Páké</t>
  </si>
  <si>
    <t>Barátost</t>
  </si>
  <si>
    <t>. 1996) vagy népszokásait (ebben a témakörben</t>
  </si>
  <si>
    <r>
      <t>kincs. Mesék. Bukarest, 1993.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Üti Páké</t>
    </r>
  </si>
  <si>
    <t>. Csúfolódó székely népköltészet. Csíkszereda</t>
  </si>
  <si>
    <r>
      <t>Tudor987 Porzsolt Borbála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Porzsolt Borbála (</t>
    </r>
  </si>
  <si>
    <t>, 1933. november 1. -) erdélyi magyar festőművész</t>
  </si>
  <si>
    <t>Bukarest, 1985; ua. újrakiadásban Üti Páké</t>
  </si>
  <si>
    <t>címmel, Csíkszereda-Budapest, 1995) és</t>
  </si>
  <si>
    <t>mondókákat mind legyejezte. A Üti Pákhely</t>
  </si>
  <si>
    <t>könyvnek nagy sikere volt. Olyan sokan</t>
  </si>
  <si>
    <t>olvastam a könyvben, hogy az Üti Pákhely</t>
  </si>
  <si>
    <t>tulajdonképpen nem egy csúfolódás, hiszen</t>
  </si>
  <si>
    <t>közjegyzőséghez tartoztak, de a községháza</t>
  </si>
  <si>
    <t>Barátoson</t>
  </si>
  <si>
    <t>volt, holott a két falu lakosainak létszáma</t>
  </si>
  <si>
    <t>közszájon a mondás, hogy üti, mint Pákhely</t>
  </si>
  <si>
    <t>. Szintén nem annyira a csúfolódások közé</t>
  </si>
  <si>
    <t>mindent, még a borítóterv is elküldetett.</t>
  </si>
  <si>
    <t>javasolta, hogy a kép a hátsó borítóra</t>
  </si>
  <si>
    <r>
      <t>&lt;p&gt; </t>
    </r>
    <r>
      <rPr>
        <sz val="7"/>
        <color rgb="FF000000"/>
        <rFont val="Trebuchet MS"/>
        <family val="2"/>
        <charset val="238"/>
      </rPr>
      <t>Töprengő 2013. október 20. 18:59 Kedves</t>
    </r>
  </si>
  <si>
    <t>! Egy évvel ezelőtt - Tőled messze elmaradva-1</t>
  </si>
  <si>
    <r>
      <t>&lt;p&gt; </t>
    </r>
    <r>
      <rPr>
        <sz val="7"/>
        <color rgb="FF000000"/>
        <rFont val="Trebuchet MS"/>
        <family val="2"/>
        <charset val="238"/>
      </rPr>
      <t>boróka 2013. október 29. 22:18 Töprengő</t>
    </r>
  </si>
  <si>
    <t>! Nincs pisztolyom és nem is lesz, mert</t>
  </si>
  <si>
    <t>rossz</t>
  </si>
  <si>
    <t>főnévi alaptag/utótag</t>
  </si>
  <si>
    <t>eltérő jelentés</t>
  </si>
  <si>
    <t>jó:</t>
  </si>
  <si>
    <t>rossz:</t>
  </si>
  <si>
    <t>főnévi alaptag/utótag:</t>
  </si>
  <si>
    <t>eltérő jelentés:</t>
  </si>
  <si>
    <t>továbbképzett szó</t>
  </si>
  <si>
    <t>továbbképzett szó:</t>
  </si>
  <si>
    <t>azonosító</t>
  </si>
  <si>
    <t>szövegkörnyezet</t>
  </si>
  <si>
    <t>adat</t>
  </si>
  <si>
    <t>megfelelőség</t>
  </si>
  <si>
    <t>kizárás oka</t>
  </si>
  <si>
    <t>kritérium</t>
  </si>
  <si>
    <t>darabszám</t>
  </si>
  <si>
    <r>
      <t>Az MNSZ N.</t>
    </r>
    <r>
      <rPr>
        <i/>
        <sz val="18"/>
        <color theme="1"/>
        <rFont val="Aptos Narrow"/>
        <family val="2"/>
        <scheme val="minor"/>
      </rPr>
      <t xml:space="preserve">barátos </t>
    </r>
    <r>
      <rPr>
        <sz val="18"/>
        <color theme="1"/>
        <rFont val="Aptos Narrow"/>
        <family val="2"/>
        <scheme val="minor"/>
      </rPr>
      <t>adatai (10.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</si>
</sst>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1C80-63B6-4A70-9528-414FDF24DD8C}">
  <sheetPr>
    <pageSetUpPr fitToPage="1"/>
  </sheetPr>
  <dimension ref="A1:I37"/>
  <sheetViews>
    <sheetView tabSelected="1" zoomScaleNormal="100" workbookViewId="0">
      <selection activeCell="H18" sqref="H18"/>
    </sheetView>
  </sheetViews>
  <sheetFormatPr defaultRowHeight="14.4" x14ac:dyDescent="0.3"/>
  <cols>
    <col min="1" max="1" width="9.33203125" style="1" bestFit="1" customWidth="1"/>
    <col min="2" max="2" width="33.109375" style="1" bestFit="1" customWidth="1"/>
    <col min="3" max="3" width="11.6640625" style="1" bestFit="1" customWidth="1"/>
    <col min="4" max="4" width="32.33203125" style="1" bestFit="1" customWidth="1"/>
    <col min="5" max="5" width="11.6640625" style="1" bestFit="1" customWidth="1"/>
    <col min="6" max="6" width="17.88671875" style="1" bestFit="1" customWidth="1"/>
    <col min="7" max="7" width="8.88671875" style="1"/>
    <col min="8" max="8" width="18.44140625" style="1" bestFit="1" customWidth="1"/>
    <col min="9" max="9" width="9.88671875" style="1" bestFit="1" customWidth="1"/>
    <col min="10" max="16384" width="8.88671875" style="1"/>
  </cols>
  <sheetData>
    <row r="1" spans="1:9" s="3" customFormat="1" ht="32.4" customHeight="1" x14ac:dyDescent="0.3">
      <c r="A1" s="2" t="s">
        <v>123</v>
      </c>
    </row>
    <row r="2" spans="1:9" ht="14.4" customHeight="1" x14ac:dyDescent="0.45">
      <c r="A2" s="4"/>
    </row>
    <row r="3" spans="1:9" s="5" customFormat="1" ht="28.2" customHeight="1" x14ac:dyDescent="0.3">
      <c r="A3" s="5" t="s">
        <v>116</v>
      </c>
      <c r="B3" s="5" t="s">
        <v>117</v>
      </c>
      <c r="C3" s="5" t="s">
        <v>118</v>
      </c>
      <c r="D3" s="5" t="s">
        <v>117</v>
      </c>
      <c r="E3" s="5" t="s">
        <v>119</v>
      </c>
      <c r="F3" s="5" t="s">
        <v>120</v>
      </c>
      <c r="H3" s="5" t="s">
        <v>121</v>
      </c>
      <c r="I3" s="5" t="s">
        <v>122</v>
      </c>
    </row>
    <row r="4" spans="1:9" x14ac:dyDescent="0.3">
      <c r="A4" s="6" t="s">
        <v>0</v>
      </c>
      <c r="B4" s="7" t="s">
        <v>34</v>
      </c>
      <c r="C4" s="8" t="s">
        <v>35</v>
      </c>
      <c r="D4" s="9" t="s">
        <v>36</v>
      </c>
      <c r="E4" s="1" t="s">
        <v>107</v>
      </c>
      <c r="F4" s="1" t="s">
        <v>108</v>
      </c>
    </row>
    <row r="5" spans="1:9" x14ac:dyDescent="0.3">
      <c r="A5" s="6" t="s">
        <v>1</v>
      </c>
      <c r="B5" s="7" t="s">
        <v>37</v>
      </c>
      <c r="C5" s="8" t="s">
        <v>38</v>
      </c>
      <c r="D5" s="9" t="s">
        <v>39</v>
      </c>
      <c r="E5" s="1" t="s">
        <v>107</v>
      </c>
      <c r="F5" s="1" t="s">
        <v>109</v>
      </c>
    </row>
    <row r="6" spans="1:9" x14ac:dyDescent="0.3">
      <c r="A6" s="6" t="s">
        <v>2</v>
      </c>
      <c r="B6" s="7" t="s">
        <v>40</v>
      </c>
      <c r="C6" s="8" t="s">
        <v>41</v>
      </c>
      <c r="D6" s="9" t="s">
        <v>42</v>
      </c>
      <c r="E6" s="1" t="s">
        <v>107</v>
      </c>
      <c r="F6" s="1" t="s">
        <v>108</v>
      </c>
      <c r="H6" s="1" t="s">
        <v>110</v>
      </c>
      <c r="I6" s="1">
        <f>COUNTIF(E4:E37,"jó")</f>
        <v>0</v>
      </c>
    </row>
    <row r="7" spans="1:9" x14ac:dyDescent="0.3">
      <c r="A7" s="6" t="s">
        <v>3</v>
      </c>
      <c r="B7" s="7" t="s">
        <v>43</v>
      </c>
      <c r="C7" s="8" t="s">
        <v>44</v>
      </c>
      <c r="D7" s="9" t="s">
        <v>45</v>
      </c>
      <c r="E7" s="1" t="s">
        <v>107</v>
      </c>
      <c r="F7" s="1" t="s">
        <v>114</v>
      </c>
      <c r="H7" s="1" t="s">
        <v>111</v>
      </c>
      <c r="I7" s="1">
        <f>COUNTIF(E4:E37,"rossz")</f>
        <v>34</v>
      </c>
    </row>
    <row r="8" spans="1:9" x14ac:dyDescent="0.3">
      <c r="A8" s="6" t="s">
        <v>4</v>
      </c>
      <c r="B8" s="7" t="s">
        <v>46</v>
      </c>
      <c r="C8" s="8" t="s">
        <v>47</v>
      </c>
      <c r="D8" s="9" t="s">
        <v>48</v>
      </c>
      <c r="E8" s="1" t="s">
        <v>107</v>
      </c>
      <c r="F8" s="1" t="s">
        <v>109</v>
      </c>
    </row>
    <row r="9" spans="1:9" x14ac:dyDescent="0.3">
      <c r="A9" s="6" t="s">
        <v>5</v>
      </c>
      <c r="B9" s="7" t="s">
        <v>49</v>
      </c>
      <c r="C9" s="8" t="s">
        <v>50</v>
      </c>
      <c r="D9" s="9" t="s">
        <v>51</v>
      </c>
      <c r="E9" s="1" t="s">
        <v>107</v>
      </c>
      <c r="F9" s="1" t="s">
        <v>109</v>
      </c>
      <c r="H9" s="1" t="s">
        <v>112</v>
      </c>
      <c r="I9" s="1">
        <f>COUNTIF(F4:F37,"főnévi alaptag/utótag")</f>
        <v>11</v>
      </c>
    </row>
    <row r="10" spans="1:9" x14ac:dyDescent="0.3">
      <c r="A10" s="6" t="s">
        <v>6</v>
      </c>
      <c r="B10" s="7" t="s">
        <v>52</v>
      </c>
      <c r="C10" s="8" t="s">
        <v>53</v>
      </c>
      <c r="D10" s="9" t="s">
        <v>54</v>
      </c>
      <c r="E10" s="1" t="s">
        <v>107</v>
      </c>
      <c r="F10" s="1" t="s">
        <v>109</v>
      </c>
      <c r="H10" s="1" t="s">
        <v>113</v>
      </c>
      <c r="I10" s="1">
        <f>COUNTIF(F4:F37,"eltérő jelentés")</f>
        <v>22</v>
      </c>
    </row>
    <row r="11" spans="1:9" x14ac:dyDescent="0.3">
      <c r="A11" s="6" t="s">
        <v>7</v>
      </c>
      <c r="B11" s="7" t="s">
        <v>55</v>
      </c>
      <c r="C11" s="8" t="s">
        <v>56</v>
      </c>
      <c r="D11" s="9" t="s">
        <v>57</v>
      </c>
      <c r="E11" s="1" t="s">
        <v>107</v>
      </c>
      <c r="F11" s="1" t="s">
        <v>108</v>
      </c>
      <c r="H11" s="1" t="s">
        <v>115</v>
      </c>
      <c r="I11" s="1">
        <f>COUNTIF(F4:F37,"továbbképzett szó")</f>
        <v>1</v>
      </c>
    </row>
    <row r="12" spans="1:9" x14ac:dyDescent="0.3">
      <c r="A12" s="6" t="s">
        <v>8</v>
      </c>
      <c r="B12" s="7" t="s">
        <v>58</v>
      </c>
      <c r="C12" s="8" t="s">
        <v>59</v>
      </c>
      <c r="D12" s="9" t="s">
        <v>60</v>
      </c>
      <c r="E12" s="1" t="s">
        <v>107</v>
      </c>
      <c r="F12" s="1" t="s">
        <v>108</v>
      </c>
    </row>
    <row r="13" spans="1:9" x14ac:dyDescent="0.3">
      <c r="A13" s="6" t="s">
        <v>9</v>
      </c>
      <c r="B13" s="7" t="s">
        <v>61</v>
      </c>
      <c r="C13" s="8" t="s">
        <v>62</v>
      </c>
      <c r="D13" s="9" t="s">
        <v>63</v>
      </c>
      <c r="E13" s="1" t="s">
        <v>107</v>
      </c>
      <c r="F13" s="1" t="s">
        <v>108</v>
      </c>
    </row>
    <row r="14" spans="1:9" x14ac:dyDescent="0.3">
      <c r="A14" s="6" t="s">
        <v>10</v>
      </c>
      <c r="B14" s="7" t="s">
        <v>61</v>
      </c>
      <c r="C14" s="8" t="s">
        <v>62</v>
      </c>
      <c r="D14" s="9" t="s">
        <v>63</v>
      </c>
      <c r="E14" s="1" t="s">
        <v>107</v>
      </c>
      <c r="F14" s="1" t="s">
        <v>108</v>
      </c>
    </row>
    <row r="15" spans="1:9" x14ac:dyDescent="0.3">
      <c r="A15" s="6" t="s">
        <v>11</v>
      </c>
      <c r="B15" s="7" t="s">
        <v>64</v>
      </c>
      <c r="C15" s="8" t="s">
        <v>41</v>
      </c>
      <c r="D15" s="9" t="s">
        <v>65</v>
      </c>
      <c r="E15" s="1" t="s">
        <v>107</v>
      </c>
      <c r="F15" s="1" t="s">
        <v>108</v>
      </c>
    </row>
    <row r="16" spans="1:9" x14ac:dyDescent="0.3">
      <c r="A16" s="6" t="s">
        <v>12</v>
      </c>
      <c r="B16" s="7" t="s">
        <v>66</v>
      </c>
      <c r="C16" s="8" t="s">
        <v>41</v>
      </c>
      <c r="D16" s="9" t="s">
        <v>67</v>
      </c>
      <c r="E16" s="1" t="s">
        <v>107</v>
      </c>
      <c r="F16" s="1" t="s">
        <v>108</v>
      </c>
    </row>
    <row r="17" spans="1:6" x14ac:dyDescent="0.3">
      <c r="A17" s="6" t="s">
        <v>13</v>
      </c>
      <c r="B17" s="7" t="s">
        <v>68</v>
      </c>
      <c r="C17" s="8" t="s">
        <v>41</v>
      </c>
      <c r="D17" s="9" t="s">
        <v>69</v>
      </c>
      <c r="E17" s="1" t="s">
        <v>107</v>
      </c>
      <c r="F17" s="1" t="s">
        <v>108</v>
      </c>
    </row>
    <row r="18" spans="1:6" x14ac:dyDescent="0.3">
      <c r="A18" s="6" t="s">
        <v>14</v>
      </c>
      <c r="B18" s="7" t="s">
        <v>70</v>
      </c>
      <c r="C18" s="8" t="s">
        <v>41</v>
      </c>
      <c r="D18" s="9" t="s">
        <v>71</v>
      </c>
      <c r="E18" s="1" t="s">
        <v>107</v>
      </c>
      <c r="F18" s="1" t="s">
        <v>108</v>
      </c>
    </row>
    <row r="19" spans="1:6" x14ac:dyDescent="0.3">
      <c r="A19" s="6" t="s">
        <v>15</v>
      </c>
      <c r="B19" s="7" t="s">
        <v>72</v>
      </c>
      <c r="C19" s="8" t="s">
        <v>41</v>
      </c>
      <c r="D19" s="9" t="s">
        <v>73</v>
      </c>
      <c r="E19" s="1" t="s">
        <v>107</v>
      </c>
      <c r="F19" s="1" t="s">
        <v>108</v>
      </c>
    </row>
    <row r="20" spans="1:6" x14ac:dyDescent="0.3">
      <c r="A20" s="6" t="s">
        <v>16</v>
      </c>
      <c r="B20" s="7" t="s">
        <v>74</v>
      </c>
      <c r="C20" s="8" t="s">
        <v>75</v>
      </c>
      <c r="D20" s="9" t="s">
        <v>76</v>
      </c>
      <c r="E20" s="1" t="s">
        <v>107</v>
      </c>
      <c r="F20" s="1" t="s">
        <v>109</v>
      </c>
    </row>
    <row r="21" spans="1:6" x14ac:dyDescent="0.3">
      <c r="A21" s="6" t="s">
        <v>17</v>
      </c>
      <c r="B21" s="7" t="s">
        <v>77</v>
      </c>
      <c r="C21" s="8" t="s">
        <v>38</v>
      </c>
      <c r="D21" s="9" t="s">
        <v>78</v>
      </c>
      <c r="E21" s="1" t="s">
        <v>107</v>
      </c>
      <c r="F21" s="1" t="s">
        <v>109</v>
      </c>
    </row>
    <row r="22" spans="1:6" x14ac:dyDescent="0.3">
      <c r="A22" s="6" t="s">
        <v>18</v>
      </c>
      <c r="B22" s="7" t="s">
        <v>79</v>
      </c>
      <c r="C22" s="8" t="s">
        <v>38</v>
      </c>
      <c r="D22" s="9" t="s">
        <v>80</v>
      </c>
      <c r="E22" s="1" t="s">
        <v>107</v>
      </c>
      <c r="F22" s="1" t="s">
        <v>109</v>
      </c>
    </row>
    <row r="23" spans="1:6" x14ac:dyDescent="0.3">
      <c r="A23" s="6" t="s">
        <v>19</v>
      </c>
      <c r="B23" s="7" t="s">
        <v>81</v>
      </c>
      <c r="C23" s="8" t="s">
        <v>75</v>
      </c>
      <c r="D23" s="9" t="s">
        <v>82</v>
      </c>
      <c r="E23" s="1" t="s">
        <v>107</v>
      </c>
      <c r="F23" s="1" t="s">
        <v>109</v>
      </c>
    </row>
    <row r="24" spans="1:6" x14ac:dyDescent="0.3">
      <c r="A24" s="6" t="s">
        <v>20</v>
      </c>
      <c r="B24" s="7" t="s">
        <v>83</v>
      </c>
      <c r="C24" s="8" t="s">
        <v>84</v>
      </c>
      <c r="D24" s="9" t="s">
        <v>85</v>
      </c>
      <c r="E24" s="1" t="s">
        <v>107</v>
      </c>
      <c r="F24" s="1" t="s">
        <v>109</v>
      </c>
    </row>
    <row r="25" spans="1:6" x14ac:dyDescent="0.3">
      <c r="A25" s="6" t="s">
        <v>21</v>
      </c>
      <c r="B25" s="7" t="s">
        <v>86</v>
      </c>
      <c r="C25" s="8" t="s">
        <v>84</v>
      </c>
      <c r="D25" s="9" t="s">
        <v>87</v>
      </c>
      <c r="E25" s="1" t="s">
        <v>107</v>
      </c>
      <c r="F25" s="1" t="s">
        <v>109</v>
      </c>
    </row>
    <row r="26" spans="1:6" x14ac:dyDescent="0.3">
      <c r="A26" s="6" t="s">
        <v>22</v>
      </c>
      <c r="B26" s="7" t="s">
        <v>88</v>
      </c>
      <c r="C26" s="8" t="s">
        <v>38</v>
      </c>
      <c r="D26" s="9" t="s">
        <v>89</v>
      </c>
      <c r="E26" s="1" t="s">
        <v>107</v>
      </c>
      <c r="F26" s="1" t="s">
        <v>109</v>
      </c>
    </row>
    <row r="27" spans="1:6" x14ac:dyDescent="0.3">
      <c r="A27" s="6" t="s">
        <v>23</v>
      </c>
      <c r="B27" s="7" t="s">
        <v>90</v>
      </c>
      <c r="C27" s="8" t="s">
        <v>84</v>
      </c>
      <c r="D27" s="9" t="s">
        <v>91</v>
      </c>
      <c r="E27" s="1" t="s">
        <v>107</v>
      </c>
      <c r="F27" s="1" t="s">
        <v>109</v>
      </c>
    </row>
    <row r="28" spans="1:6" x14ac:dyDescent="0.3">
      <c r="A28" s="6" t="s">
        <v>24</v>
      </c>
      <c r="B28" s="7" t="s">
        <v>92</v>
      </c>
      <c r="C28" s="8" t="s">
        <v>84</v>
      </c>
      <c r="D28" s="9" t="s">
        <v>93</v>
      </c>
      <c r="E28" s="1" t="s">
        <v>107</v>
      </c>
      <c r="F28" s="1" t="s">
        <v>109</v>
      </c>
    </row>
    <row r="29" spans="1:6" x14ac:dyDescent="0.3">
      <c r="A29" s="6" t="s">
        <v>25</v>
      </c>
      <c r="B29" s="7" t="s">
        <v>94</v>
      </c>
      <c r="C29" s="8" t="s">
        <v>84</v>
      </c>
      <c r="D29" s="9" t="s">
        <v>95</v>
      </c>
      <c r="E29" s="1" t="s">
        <v>107</v>
      </c>
      <c r="F29" s="1" t="s">
        <v>109</v>
      </c>
    </row>
    <row r="30" spans="1:6" x14ac:dyDescent="0.3">
      <c r="A30" s="6" t="s">
        <v>26</v>
      </c>
      <c r="B30" s="7" t="s">
        <v>96</v>
      </c>
      <c r="C30" s="8" t="s">
        <v>97</v>
      </c>
      <c r="D30" s="9" t="s">
        <v>98</v>
      </c>
      <c r="E30" s="1" t="s">
        <v>107</v>
      </c>
      <c r="F30" s="1" t="s">
        <v>109</v>
      </c>
    </row>
    <row r="31" spans="1:6" x14ac:dyDescent="0.3">
      <c r="A31" s="6" t="s">
        <v>27</v>
      </c>
      <c r="B31" s="7" t="s">
        <v>99</v>
      </c>
      <c r="C31" s="8" t="s">
        <v>84</v>
      </c>
      <c r="D31" s="9" t="s">
        <v>100</v>
      </c>
      <c r="E31" s="1" t="s">
        <v>107</v>
      </c>
      <c r="F31" s="1" t="s">
        <v>109</v>
      </c>
    </row>
    <row r="32" spans="1:6" x14ac:dyDescent="0.3">
      <c r="A32" s="6" t="s">
        <v>28</v>
      </c>
      <c r="B32" s="7" t="s">
        <v>101</v>
      </c>
      <c r="C32" s="8" t="s">
        <v>38</v>
      </c>
      <c r="D32" s="9" t="s">
        <v>102</v>
      </c>
      <c r="E32" s="1" t="s">
        <v>107</v>
      </c>
      <c r="F32" s="1" t="s">
        <v>109</v>
      </c>
    </row>
    <row r="33" spans="1:6" x14ac:dyDescent="0.3">
      <c r="A33" s="6" t="s">
        <v>29</v>
      </c>
      <c r="B33" s="10" t="s">
        <v>103</v>
      </c>
      <c r="C33" s="8" t="s">
        <v>38</v>
      </c>
      <c r="D33" s="9" t="s">
        <v>104</v>
      </c>
      <c r="E33" s="1" t="s">
        <v>107</v>
      </c>
      <c r="F33" s="1" t="s">
        <v>109</v>
      </c>
    </row>
    <row r="34" spans="1:6" x14ac:dyDescent="0.3">
      <c r="A34" s="6" t="s">
        <v>30</v>
      </c>
      <c r="B34" s="10" t="s">
        <v>103</v>
      </c>
      <c r="C34" s="8" t="s">
        <v>38</v>
      </c>
      <c r="D34" s="9" t="s">
        <v>104</v>
      </c>
      <c r="E34" s="1" t="s">
        <v>107</v>
      </c>
      <c r="F34" s="1" t="s">
        <v>109</v>
      </c>
    </row>
    <row r="35" spans="1:6" x14ac:dyDescent="0.3">
      <c r="A35" s="6" t="s">
        <v>31</v>
      </c>
      <c r="B35" s="10" t="s">
        <v>103</v>
      </c>
      <c r="C35" s="8" t="s">
        <v>38</v>
      </c>
      <c r="D35" s="9" t="s">
        <v>104</v>
      </c>
      <c r="E35" s="1" t="s">
        <v>107</v>
      </c>
      <c r="F35" s="1" t="s">
        <v>109</v>
      </c>
    </row>
    <row r="36" spans="1:6" x14ac:dyDescent="0.3">
      <c r="A36" s="6" t="s">
        <v>32</v>
      </c>
      <c r="B36" s="10" t="s">
        <v>105</v>
      </c>
      <c r="C36" s="8" t="s">
        <v>38</v>
      </c>
      <c r="D36" s="9" t="s">
        <v>106</v>
      </c>
      <c r="E36" s="1" t="s">
        <v>107</v>
      </c>
      <c r="F36" s="1" t="s">
        <v>109</v>
      </c>
    </row>
    <row r="37" spans="1:6" x14ac:dyDescent="0.3">
      <c r="A37" s="6" t="s">
        <v>33</v>
      </c>
      <c r="B37" s="10" t="s">
        <v>105</v>
      </c>
      <c r="C37" s="8" t="s">
        <v>38</v>
      </c>
      <c r="D37" s="9" t="s">
        <v>106</v>
      </c>
      <c r="E37" s="1" t="s">
        <v>107</v>
      </c>
      <c r="F37" s="1" t="s">
        <v>109</v>
      </c>
    </row>
  </sheetData>
  <pageMargins left="0.70866141732283472" right="0.70866141732283472" top="0.74803149606299213" bottom="0.74803149606299213" header="0.31496062992125984" footer="0.31496062992125984"/>
  <pageSetup paperSize="9" scale="5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2025-01-12T10:50:45Z</cp:lastPrinted>
  <dcterms:created xsi:type="dcterms:W3CDTF">2024-10-10T08:45:05Z</dcterms:created>
  <dcterms:modified xsi:type="dcterms:W3CDTF">2026-03-27T20:28:53Z</dcterms:modified>
</cp:coreProperties>
</file>