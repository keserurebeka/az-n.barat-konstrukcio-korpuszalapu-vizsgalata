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5D677F7D-493D-478B-A440-661F512C39B6}" xr6:coauthVersionLast="47" xr6:coauthVersionMax="47" xr10:uidLastSave="{00000000-0000-0000-0000-000000000000}"/>
  <bookViews>
    <workbookView xWindow="-108" yWindow="-108" windowWidth="23256" windowHeight="12456" xr2:uid="{53D6E1BC-1804-4AF9-B302-FA069D9FA01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4" i="1" l="1"/>
  <c r="M64" i="1"/>
  <c r="N62" i="1"/>
  <c r="N61" i="1"/>
  <c r="M62" i="1"/>
  <c r="M61" i="1"/>
  <c r="M57" i="1"/>
  <c r="N57" i="1" s="1"/>
  <c r="M55" i="1"/>
  <c r="N55" i="1" s="1"/>
  <c r="M54" i="1"/>
  <c r="N54" i="1" s="1"/>
  <c r="R52" i="1"/>
  <c r="R50" i="1"/>
  <c r="M50" i="1"/>
  <c r="R49" i="1"/>
  <c r="M49" i="1"/>
  <c r="R48" i="1"/>
  <c r="M48" i="1"/>
  <c r="R47" i="1"/>
  <c r="M47" i="1"/>
  <c r="R46" i="1"/>
  <c r="M46" i="1"/>
  <c r="R45" i="1"/>
  <c r="M45" i="1"/>
  <c r="R44" i="1"/>
  <c r="M44" i="1"/>
  <c r="R43" i="1"/>
  <c r="M43" i="1"/>
  <c r="R42" i="1"/>
  <c r="M42" i="1"/>
  <c r="R41" i="1"/>
  <c r="M41" i="1"/>
  <c r="R40" i="1"/>
  <c r="M40" i="1"/>
  <c r="R39" i="1"/>
  <c r="M39" i="1"/>
  <c r="R38" i="1"/>
  <c r="M38" i="1"/>
  <c r="R37" i="1"/>
  <c r="M37" i="1"/>
  <c r="M28" i="1"/>
  <c r="M27" i="1"/>
  <c r="M26" i="1"/>
  <c r="M22" i="1"/>
  <c r="M21" i="1"/>
  <c r="M20" i="1"/>
  <c r="M16" i="1"/>
  <c r="M15" i="1"/>
  <c r="M14" i="1"/>
  <c r="M13" i="1"/>
  <c r="M9" i="1"/>
  <c r="M8" i="1"/>
  <c r="M5" i="1"/>
  <c r="S48" i="1" l="1"/>
  <c r="N48" i="1"/>
  <c r="S47" i="1"/>
  <c r="N47" i="1"/>
  <c r="N37" i="1"/>
  <c r="S46" i="1"/>
  <c r="N28" i="1"/>
  <c r="N27" i="1"/>
  <c r="S40" i="1"/>
  <c r="S52" i="1"/>
  <c r="S50" i="1"/>
  <c r="N50" i="1"/>
  <c r="S49" i="1"/>
  <c r="N49" i="1"/>
  <c r="N46" i="1"/>
  <c r="S45" i="1"/>
  <c r="N45" i="1"/>
  <c r="S44" i="1"/>
  <c r="N44" i="1"/>
  <c r="S43" i="1"/>
  <c r="N43" i="1"/>
  <c r="S42" i="1"/>
  <c r="N42" i="1"/>
  <c r="S41" i="1"/>
  <c r="N41" i="1"/>
  <c r="N40" i="1"/>
  <c r="S39" i="1"/>
  <c r="N39" i="1"/>
  <c r="S38" i="1"/>
  <c r="N38" i="1"/>
  <c r="S37" i="1"/>
  <c r="N22" i="1"/>
  <c r="N21" i="1"/>
  <c r="N20" i="1"/>
  <c r="N16" i="1"/>
  <c r="N15" i="1"/>
  <c r="N14" i="1"/>
  <c r="N13" i="1"/>
  <c r="N9" i="1"/>
  <c r="N8" i="1"/>
</calcChain>
</file>

<file path=xl/sharedStrings.xml><?xml version="1.0" encoding="utf-8"?>
<sst xmlns="http://schemas.openxmlformats.org/spreadsheetml/2006/main" count="2260" uniqueCount="907">
  <si>
    <r>
      <t>Az MTSZ N.</t>
    </r>
    <r>
      <rPr>
        <i/>
        <sz val="18"/>
        <color theme="1"/>
        <rFont val="Aptos Narrow"/>
        <family val="2"/>
        <scheme val="minor"/>
      </rPr>
      <t xml:space="preserve">barát </t>
    </r>
    <r>
      <rPr>
        <sz val="18"/>
        <color theme="1"/>
        <rFont val="Aptos Narrow"/>
        <family val="2"/>
        <scheme val="minor"/>
      </rPr>
      <t>adatai - példányok (2. számú melléklet)</t>
    </r>
  </si>
  <si>
    <t>keletkezés</t>
  </si>
  <si>
    <t>szövegkörnyezet</t>
  </si>
  <si>
    <t>adat</t>
  </si>
  <si>
    <t>megfelelőség</t>
  </si>
  <si>
    <t>kizárás oka</t>
  </si>
  <si>
    <t>Paradis ontológiák</t>
  </si>
  <si>
    <t>bővített ontológiai kategória</t>
  </si>
  <si>
    <t>jelentés mire vonatkozik</t>
  </si>
  <si>
    <t>kritérium</t>
  </si>
  <si>
    <t>darabszám</t>
  </si>
  <si>
    <t>arány</t>
  </si>
  <si>
    <t>kerǘlvén , igy ſzóllott Hozzája . JULIÁNA : Jó napot</t>
  </si>
  <si>
    <t>Zsido-barát</t>
  </si>
  <si>
    <t>. Hol veſzed itt magadat ? NÁTHÁN : Nagyságos Uram</t>
  </si>
  <si>
    <t>rossz</t>
  </si>
  <si>
    <t>eltérő jelentés</t>
  </si>
  <si>
    <t>beteg minden-nap egy héttel tovább polikreſt-sót , és</t>
  </si>
  <si>
    <t>rabárbarát</t>
  </si>
  <si>
    <t>olly jó következéſsel veve , hogy minden bajai el-üzettetének</t>
  </si>
  <si>
    <t>tárgyragos alak</t>
  </si>
  <si>
    <t>összes:</t>
  </si>
  <si>
    <t>laxativával ki-kell tiſztittani , adván-bé egy könting</t>
  </si>
  <si>
    <t>rabarbarát</t>
  </si>
  <si>
    <t>egy finsára való ſavoban , vagy melegetske vizben</t>
  </si>
  <si>
    <t>Fej , item , ábrázat . Alcau = Fejedelem , item ,</t>
  </si>
  <si>
    <t>jóbarát</t>
  </si>
  <si>
    <t>. - Elhagytuk Port de Françoist . ( Ki-hagyon a '</t>
  </si>
  <si>
    <t>főnévi alaptag/utótag</t>
  </si>
  <si>
    <t>Várának Ura . Urunk 1640-dike táján Senderöre a '</t>
  </si>
  <si>
    <t>Szürkebarát</t>
  </si>
  <si>
    <t>nevǘ Szerzeteseket bévezette : azon idö́ tájban a</t>
  </si>
  <si>
    <t>jó:</t>
  </si>
  <si>
    <t>virágból kéſzǘlt herbatéba edgy kávés kanállal . Végy</t>
  </si>
  <si>
    <t>rhabarbarát</t>
  </si>
  <si>
    <t>, Cascarillát , mindenikbö́l I . dr : quaſsiát ,</t>
  </si>
  <si>
    <t>rossz:</t>
  </si>
  <si>
    <t>Kótai ? - nem látod jól mibe foglalatos . CLII . Az</t>
  </si>
  <si>
    <t>eſzemiſzom-barát</t>
  </si>
  <si>
    <t>. Mart . Ezt kit az aſztalod és vacsorád kéſzíte</t>
  </si>
  <si>
    <t>ſzáz moslékkal töltötték gyomromat . , , Az eggyik</t>
  </si>
  <si>
    <t>barbarát</t>
  </si>
  <si>
    <t>antimóniummal , , , ez meg chínát rendelt matrimóniummal</t>
  </si>
  <si>
    <t>1818 k.</t>
  </si>
  <si>
    <t>ember ! önző minden mozdulatában , csak ott közlő</t>
  </si>
  <si>
    <t>felebarát</t>
  </si>
  <si>
    <t>, hol fölöslege van ! Beküzdtük magunkat a majorba</t>
  </si>
  <si>
    <t>Barát ? Mert sok Kujon visel azt tettető harát . Az</t>
  </si>
  <si>
    <t>Ember-barát</t>
  </si>
  <si>
    <t>bő : Barát-ember ritka ! E ' szó-játék alatt van</t>
  </si>
  <si>
    <t>jó</t>
  </si>
  <si>
    <t>human</t>
  </si>
  <si>
    <t>eltérő jelentés:</t>
  </si>
  <si>
    <t>: magatokat , most és évről évre , Érdemesitsétek</t>
  </si>
  <si>
    <t>Hites-barát</t>
  </si>
  <si>
    <t>névre . Most czo ide Szárnyas ! - út jobb ki térésnél</t>
  </si>
  <si>
    <t>tárgyragos alak:</t>
  </si>
  <si>
    <t>1823-1824</t>
  </si>
  <si>
    <t>, viszi harczos lelke ' haragját . , , A ' láncsás</t>
  </si>
  <si>
    <t>Hubarát</t>
  </si>
  <si>
    <t>ketté vagdossa derékon , , , És testes Remilint ,</t>
  </si>
  <si>
    <t>főnévi alaptag/utótag:</t>
  </si>
  <si>
    <t>korgásai . Aztán ki nem dilettánt már ma ? ki nem</t>
  </si>
  <si>
    <t>hanga-barát</t>
  </si>
  <si>
    <t>? Nem várhatjuk-e minden órán , hogy még az iszonyodás</t>
  </si>
  <si>
    <t>értelmezhetetlen</t>
  </si>
  <si>
    <t>értelmezhetetlen:</t>
  </si>
  <si>
    <t>, a generál kis uradalmában . Ezen kívül e lelkes</t>
  </si>
  <si>
    <t>emberbarát</t>
  </si>
  <si>
    <t>, köz éléstárakat építtetett a szükség ellen , s</t>
  </si>
  <si>
    <t>hitlen barát ! " - ' S égi-tűzként bárdja hátúl Zúg az</t>
  </si>
  <si>
    <t>ál-barát</t>
  </si>
  <si>
    <t>felé ; Szédül az , nem nyög , nem jajdúl , Sírját</t>
  </si>
  <si>
    <t>forró köszönettel tartozik neki minden Magyar , minden</t>
  </si>
  <si>
    <t>, hogy levonta a ' fátyolt a ' nagy publicum ' szemeirül</t>
  </si>
  <si>
    <t>' méltóságánál nincsen nemesebb és elsőbb . Ez jó</t>
  </si>
  <si>
    <t>, jó polgár , szerettetel teljes férj , hő keblű</t>
  </si>
  <si>
    <t>nagy testből , mely nem övék ? Vagy mi nem vagyunk</t>
  </si>
  <si>
    <t>? Kiket foglal magában e szó : felebarát ? Vagy már</t>
  </si>
  <si>
    <t>nem vagyunk felebarát ? Kiket foglal magában e szó :</t>
  </si>
  <si>
    <t>? Vagy már ma nem áll azon parancsolat ? jobbat gondoltak</t>
  </si>
  <si>
    <t>barát ? megmondom édes Johannám , mindkettő együtt !</t>
  </si>
  <si>
    <t>Szeretőbarát</t>
  </si>
  <si>
    <t>! Hogy ezt az én Johannám hiszi , édesen vallom magamnak</t>
  </si>
  <si>
    <t>erősséget még gondolni sem arra , hogy ő a fájó öntudatig</t>
  </si>
  <si>
    <t>borbarát</t>
  </si>
  <si>
    <t>. Én így látok . Ha csakugyan fejletlen valaki ,</t>
  </si>
  <si>
    <t>artefact</t>
  </si>
  <si>
    <t>többit szélvész hordja szét . ' ' Így szól a ' szíves</t>
  </si>
  <si>
    <t>, Vígan köszöntve poharát . Egy harmadik szelídebb</t>
  </si>
  <si>
    <t>és megkivánna . Azonban örülhet minden jobb keblü</t>
  </si>
  <si>
    <t>, ' s a ' már hidegülni kezdő szív az emberiség iránt</t>
  </si>
  <si>
    <t>1900 előtti összes:</t>
  </si>
  <si>
    <t>magát azonnal tettetett nyiltszívüséggel ajánlott -</t>
  </si>
  <si>
    <t>álbarát</t>
  </si>
  <si>
    <t>' kajánsága által veszedelembe taszított nyomorúság</t>
  </si>
  <si>
    <t>! ' ' Folytatá adagió maestosóba átesve panaszát a</t>
  </si>
  <si>
    <t>zenebarát</t>
  </si>
  <si>
    <t>s társaiban azon gyanút ébreszté , hogy elméje megháborodott</t>
  </si>
  <si>
    <t>cultural o/p</t>
  </si>
  <si>
    <t>leányka ; s ezen angyal mellett Hangody Guidó , a</t>
  </si>
  <si>
    <t>. A szép leány búsnak látszék , s így olvasóink maguktól</t>
  </si>
  <si>
    <t>arany betükkel iratlak minden szobám falára - kiáltá a</t>
  </si>
  <si>
    <t>műbarát</t>
  </si>
  <si>
    <t>. - Tadolini , a csalogánytorku énekesnő ! irígylem</t>
  </si>
  <si>
    <t>erre engem inteni ; tudnám csak , hogy itt elegendő</t>
  </si>
  <si>
    <t>van , ki méltatni tudva az ének isteni művészetét</t>
  </si>
  <si>
    <t>1842 e.</t>
  </si>
  <si>
    <t>lenyesett ág helyett hármat hajt ki ; következőleg , mint</t>
  </si>
  <si>
    <t>népbarát</t>
  </si>
  <si>
    <t>, mentől több alkalmat szerez népének hármával hajtani</t>
  </si>
  <si>
    <t>institution-like social structures</t>
  </si>
  <si>
    <t>, Én és senki más . Vagy feledve már talán a Régi</t>
  </si>
  <si>
    <t>? Nem hihetem , hogyn reátok Illenék e vád . A szövetség</t>
  </si>
  <si>
    <t>. . Eh , de mit most okoskodni ! Csapjatok kezet ;</t>
  </si>
  <si>
    <t>Jóbarát</t>
  </si>
  <si>
    <t>markába csapni Kedves élvezet . S mely bennünket</t>
  </si>
  <si>
    <t>szobabölcs , nem a sanyarú rényszónok , hanem a hő keblű</t>
  </si>
  <si>
    <t>s a létünket szépítő érzések tisztelője s osztozója</t>
  </si>
  <si>
    <t>N2 ONTOLÓGIA</t>
  </si>
  <si>
    <t>N1 ONTOLÓGIA</t>
  </si>
  <si>
    <t>Kunigunda kisasszony olly müvészileg remekelt . Husz</t>
  </si>
  <si>
    <t>nevében N . N . ' - Nem ismerem az irást . ' ' ,</t>
  </si>
  <si>
    <t>voltak jóbarátai . Kilódul egyszerDebrecenből S a</t>
  </si>
  <si>
    <t>előtt megáll , S : ihatnám , pajtás ! így kiált föl</t>
  </si>
  <si>
    <t>human:</t>
  </si>
  <si>
    <t>Ablakon . Itt benn űlök a melegben , Környékez sok</t>
  </si>
  <si>
    <t>, Töltögetve poharamba Egri bércek jó borát . Jóbarátok</t>
  </si>
  <si>
    <t>animal:</t>
  </si>
  <si>
    <t>tartanak a folyó hónap 6-án délutáni 3 órakor . Minden</t>
  </si>
  <si>
    <t>iparügy-barát</t>
  </si>
  <si>
    <t>megjelenése szivesen vétetik . April 1-én 1845 .</t>
  </si>
  <si>
    <t>other abstract 2</t>
  </si>
  <si>
    <t>natural o/p:</t>
  </si>
  <si>
    <t>antirheumaticumot , aromaticumot , cardus benedictust ,</t>
  </si>
  <si>
    <t>, tartarust , sal mirabile glauberi-t ? ' ' , , Az</t>
  </si>
  <si>
    <t>artefact:</t>
  </si>
  <si>
    <t>gyakran jártunk ; az mint egyiknek szeretője , én mint</t>
  </si>
  <si>
    <t>házibarát</t>
  </si>
  <si>
    <t>. Az idősebbik ' s elmésebbik épen a ' szeretett</t>
  </si>
  <si>
    <t>cultural o/p:</t>
  </si>
  <si>
    <t>a ' szabaddá lett hazát Már nem dúlja Ellenség és</t>
  </si>
  <si>
    <t>. És a hála Érttök szálla Évről-évre a ' nagy éghez</t>
  </si>
  <si>
    <t>institution-like social structures:</t>
  </si>
  <si>
    <t>rágalmazni . - No Tógyer , azt ugyan meglőtte . Hát</t>
  </si>
  <si>
    <t>az a vörös Judás Eskiriótes ? 6 mondá ingerlőleg</t>
  </si>
  <si>
    <t>event:</t>
  </si>
  <si>
    <t>Gőgösködik , mint nézi le a szegényt ! Ne gőgösködjél ,</t>
  </si>
  <si>
    <t>, Azért , hogy most oly jó dolgod van ; Majd e szegény</t>
  </si>
  <si>
    <t>other abstract 1:</t>
  </si>
  <si>
    <t>elkopik majd csillagfátyola . Nem kelle semmi , még a</t>
  </si>
  <si>
    <t>sem , Magam magamnak voltam terhire , S futottam</t>
  </si>
  <si>
    <t>other abstract 2:</t>
  </si>
  <si>
    <t>. - Az országban éhhalál van : - a journalista jó</t>
  </si>
  <si>
    <t>; tanácsokat oszt ki az éhezők közt . - Y úrnak ellopták</t>
  </si>
  <si>
    <t>state:</t>
  </si>
  <si>
    <t>szinházhoz tagokat kell szerződtetni : a journalista jó</t>
  </si>
  <si>
    <t>, vagy vendéglői pajtás s erősen követeli : hogy</t>
  </si>
  <si>
    <t>process:</t>
  </si>
  <si>
    <t>Senkit semmit nem ismerek . Oh , én tudom , hogy e két</t>
  </si>
  <si>
    <t>Hű lesz hozzám halálomig , S nem hagynak - el , miként</t>
  </si>
  <si>
    <t>location:</t>
  </si>
  <si>
    <t>' nép ! a ' nemzetőrsereg zajos tapssal fogadta ez</t>
  </si>
  <si>
    <t>' szavait , ' s itt az ok , mért hogy a ' második</t>
  </si>
  <si>
    <t>ability:</t>
  </si>
  <si>
    <t>Tóthfalusi Miklós orvos tudor által . Magában foglalja :</t>
  </si>
  <si>
    <t>Gyümölcsbarát</t>
  </si>
  <si>
    <t>. Okszerü vezér gyümölcsfák növelése és ápolgatására</t>
  </si>
  <si>
    <t>natural o/p</t>
  </si>
  <si>
    <t>[cím]</t>
  </si>
  <si>
    <t>schematic entities:</t>
  </si>
  <si>
    <t>nem szünő kisértései közt . Az athenaei Timon , a '</t>
  </si>
  <si>
    <t>világbarát</t>
  </si>
  <si>
    <t>és a ' legnyájasabb háziur , egy percz alatt vált</t>
  </si>
  <si>
    <t>: a szoba boltozatára festett kép lehetlen hogy a</t>
  </si>
  <si>
    <t>figyelmét meg ne ragadja . A kép Ceuta ostromát ábrázolja</t>
  </si>
  <si>
    <t>[cím]:</t>
  </si>
  <si>
    <t>erőszakának áldozatul esnek , s igy történik , hogy a</t>
  </si>
  <si>
    <t>kertbarát</t>
  </si>
  <si>
    <t>10 vadonczába pogácsa-almát ojtván , 10 fát növel</t>
  </si>
  <si>
    <t>location</t>
  </si>
  <si>
    <t>szépszóval meg ne essék , A testvérek Összeférnek ,</t>
  </si>
  <si>
    <t>Felebarát</t>
  </si>
  <si>
    <t>Mind jó barát : Semmiségért megpörölni , Vagy megenni</t>
  </si>
  <si>
    <t>gazdagsága , s az ország puszta elhagyottá lenne . Az</t>
  </si>
  <si>
    <t>őrbarát</t>
  </si>
  <si>
    <t>a személyekhez képest olykor szelid , máskor vad</t>
  </si>
  <si>
    <t>határozottan nyilatkozni s szerelmét is háttérbe szorítja ; a</t>
  </si>
  <si>
    <t>ki elébb aljasságának adja számos jelét , vég perczében</t>
  </si>
  <si>
    <t>legyen , s bátorkodék ezt szóval is nyilvánitani . Az</t>
  </si>
  <si>
    <t>e szavakkal : , , Oszszuk meg a mi van ' ' , - a</t>
  </si>
  <si>
    <t>! tán lelek módot bajaid orvoslására ' - monda az</t>
  </si>
  <si>
    <t>. Az pedig fölbátorodván e részvét következtén ,</t>
  </si>
  <si>
    <t>szerteszét , A tarka pillék röptét kergetéd . Egy</t>
  </si>
  <si>
    <t>házbarát</t>
  </si>
  <si>
    <t>, ki később megőrült , Játékaidba mélyen elmerült</t>
  </si>
  <si>
    <t>valamely szerencsés eseménynél ; ellvesztettnek vélt</t>
  </si>
  <si>
    <t>s kedves tárgynak ismét feltalálása esetében ; felgyógyult</t>
  </si>
  <si>
    <t>1862 e.</t>
  </si>
  <si>
    <t>. Én nem vagyok sem müvész , sem oly szenvedélyes</t>
  </si>
  <si>
    <t>mübarát</t>
  </si>
  <si>
    <t>, kit egy remek szobor csonka tagjának látása lelkesedésre</t>
  </si>
  <si>
    <t>ember még érzelegni , S ha látna most , ellenség ,</t>
  </si>
  <si>
    <t>, Hogy az , kit a sors korbácsolt tova , Vihar gyanánt</t>
  </si>
  <si>
    <t>mondanók a gyermeknek : te gyomrodat elrontottad , tehát</t>
  </si>
  <si>
    <t>rebarbarát</t>
  </si>
  <si>
    <t>kell bevenned ! vagy : te beteg vagy , ma tehát ki</t>
  </si>
  <si>
    <t>kivánatos mint lehetséges ' ' mondja Gedike . És a nagy</t>
  </si>
  <si>
    <t>Pestalozzi : , , a pofoncsapás helyes időben épen</t>
  </si>
  <si>
    <t>1865 e.</t>
  </si>
  <si>
    <t>ezuttal nevezetes egyéniség , foglalta el helyét . Ez</t>
  </si>
  <si>
    <t>, nevelő és nyelvmester volt egy személyben , kiről</t>
  </si>
  <si>
    <t>1869-1872</t>
  </si>
  <si>
    <t>volt , s még most is mindig tartott a barátság a két</t>
  </si>
  <si>
    <t>között , úgyhogy a mi grófunk majd mindennap átment</t>
  </si>
  <si>
    <t>, de én kértem s figyelmeztettem , hogy most nem a</t>
  </si>
  <si>
    <t>kebelbarát</t>
  </si>
  <si>
    <t>van nálam , hanem gróf Csákyt tisztelem . , , Hol</t>
  </si>
  <si>
    <t>mind csillagokká váljanak fejed körül , nemeskeblű</t>
  </si>
  <si>
    <t>' ' . . . - susogám magamban , azonban futottunk</t>
  </si>
  <si>
    <t>ezt teszi , olyképen tűnik fel előttünk , mint azon</t>
  </si>
  <si>
    <t>, ki a házigazdát uton-utfélen becsmérli , rágalmazza</t>
  </si>
  <si>
    <t>No lett erre aztán arczok elfintoritása az ügyetlen</t>
  </si>
  <si>
    <t>buzgalma miatt a jobboldali urak részéről , mig a</t>
  </si>
  <si>
    <t>1876 e.</t>
  </si>
  <si>
    <t>kértelek , hogy tanitsd meg férjedet arra , hogy én</t>
  </si>
  <si>
    <t>leszek , vagy ha durva természete ilyen műveltebb</t>
  </si>
  <si>
    <t>gondolom , némi előzetes munka szükséges , melyet csak</t>
  </si>
  <si>
    <t>ügybarát</t>
  </si>
  <si>
    <t>buzgalma teljesíthet . Meghatározni az actio terét</t>
  </si>
  <si>
    <t>other abstract 1</t>
  </si>
  <si>
    <t>Más példában : mihelyt fáj a gyomrod , végy egy adag</t>
  </si>
  <si>
    <t>rhebarbarát</t>
  </si>
  <si>
    <t>; ha nem , nincs miért bevenned ; azaz : ha nem fáj</t>
  </si>
  <si>
    <t>őrmesterök ( Radakovich , unokavére vagy testvére a "</t>
  </si>
  <si>
    <t>Népbarát</t>
  </si>
  <si>
    <t>" szerkesztőjének ) értesített , hogy czélunk Pest</t>
  </si>
  <si>
    <t>barát-csuhába bujtatott tolvajt , hogy feltűnt neki az</t>
  </si>
  <si>
    <t>szőrös karja , s mint finom észlelőnek eszébe jutott</t>
  </si>
  <si>
    <t>pap formaszerint megkeresztelte őt a » Szrboljub « (</t>
  </si>
  <si>
    <t>szerb-barát</t>
  </si>
  <si>
    <t>) névre . Mindenki üdvözölte az újonnan megkereszteltet</t>
  </si>
  <si>
    <t>állapotban van . Gróf Somváry hazafias és valódi lágyszívű</t>
  </si>
  <si>
    <t>, kinek erszénye az ügyefogyottak és szükségben levők</t>
  </si>
  <si>
    <t>csábításnak annál inkább kitett ártatlanokat s elküldi</t>
  </si>
  <si>
    <t>angyalát , Ráfaelt , hogy figyelmeztesse őket a veszélyre</t>
  </si>
  <si>
    <t>levén , közvetlen a rendőrség tudomására hoztuk . -</t>
  </si>
  <si>
    <t>. Azon emlegetett hölgy azóta eltünt a milliók között</t>
  </si>
  <si>
    <t>kocsijában ült . A koporsó után nem haladt rokon , se</t>
  </si>
  <si>
    <t>, vagy könyező ismerős , de azért Sáni előtt minden</t>
  </si>
  <si>
    <t>1889-1901</t>
  </si>
  <si>
    <t>megbocsássa ! " A furcsa képnek hire ment legott , S a</t>
  </si>
  <si>
    <t>mind ugy jelent meg ott , Mint uj apostol bölcseje</t>
  </si>
  <si>
    <t>és 1 frt 20 kr . Bővebb fevilágositást nyujt a , ,</t>
  </si>
  <si>
    <t>Betegbarát</t>
  </si>
  <si>
    <t>' ' czimü könyvecske . - Eredetileg kaphatók : Central-Depót</t>
  </si>
  <si>
    <t>state</t>
  </si>
  <si>
    <t>királyi mén kiséretében . Egy-két hónap mulva aztán a</t>
  </si>
  <si>
    <t>gyermekbarát</t>
  </si>
  <si>
    <t>közlegényt rendesen stokházba vitték , a káplárt</t>
  </si>
  <si>
    <t>eszes ember , jó gazda , jó férj , nemes gondolkozásu</t>
  </si>
  <si>
    <t>, szegényeknek istápja , egyháznak , iskolának ,</t>
  </si>
  <si>
    <t>tragédiájában szemléltet . A zsarnok Pháraóban már érezteti a</t>
  </si>
  <si>
    <t>Miltiadest , a kéjencz sergiolusban a nőtisztelő</t>
  </si>
  <si>
    <t>Ögyebet nem hallottam . Nagy , Tétény , Balogh , Vas ,</t>
  </si>
  <si>
    <t>János-barát</t>
  </si>
  <si>
    <t>, Jegyző , körorvos , Egy kis fiu ( Jönnek , s Nagyistvánné</t>
  </si>
  <si>
    <t>szolga beereszti a csengetésre . ( Jobbközépen el . )</t>
  </si>
  <si>
    <t>: Hát Annuska ? Mind : Hát Annuska ? Nagyistvánné</t>
  </si>
  <si>
    <t>klastromban érzi magát . Kati ( A tálat tartja Téténynek ,</t>
  </si>
  <si>
    <t>mellett ) : No tisztelendő úr ! ( Ez a mosolygós</t>
  </si>
  <si>
    <t>vagyunk . Nagyistván : Itt a libacomb hé , a tálban !</t>
  </si>
  <si>
    <t>: Ugyan ne tréfáljatok , hát megesik ez . Életemben</t>
  </si>
  <si>
    <t>pokolba , mit állsz ide ilyen közel ! Tétény : No</t>
  </si>
  <si>
    <t>, ez lesz a csemege a klastromban , mihelyt ott ebédelek</t>
  </si>
  <si>
    <t>ebédelek ! Körorvos : Én holnap éppen oda megyek .</t>
  </si>
  <si>
    <t>: Ne bolondozzatok ! Mit gondoltok ! Nem is képzelitek</t>
  </si>
  <si>
    <t>rettenetesen büntetik a barátokat . Mind : Ugyan ?</t>
  </si>
  <si>
    <t>: Földalatti börtön ; penészes szalma ; kenyér és</t>
  </si>
  <si>
    <t>ez törvénybe ütközik . Nagyitsvánné ( Visszatér )</t>
  </si>
  <si>
    <t>: Ki tudja meg ? A barátot ma Pozsonyba teszik ,</t>
  </si>
  <si>
    <t>felháborító ! És nem hagyják el a barátok a klastromot ?</t>
  </si>
  <si>
    <t>: Nem . Inkább jól viselik magukat . Még énellenem</t>
  </si>
  <si>
    <t>középkor már elmult . Ime : a klastromokban még tart .</t>
  </si>
  <si>
    <t>: A klastromokban nincs se középkor , se ó-kor ,</t>
  </si>
  <si>
    <t>az élő ember az élő fájdalommal temeti el magát .</t>
  </si>
  <si>
    <t>( A boros üveg épp a kezében van . ) : Nézzetek rám</t>
  </si>
  <si>
    <t>vagyok-e én az élő fájdalom ! Mind ( Nevetnek . )</t>
  </si>
  <si>
    <t>( Torkát köszörüli és feláll , a falusi tósztozók</t>
  </si>
  <si>
    <t>halljuk . Vas ( Bemegy feltünés nélkül a pianinóhoz . )</t>
  </si>
  <si>
    <t>( Vidám arccal ) : Odaki az erdőn nyílik a vadrózsa</t>
  </si>
  <si>
    <t>ugyanolyan szabályok vannak , mint az apácáknál ?</t>
  </si>
  <si>
    <t>: Éppen ugyanolyan , csak a ruha más . ( Egy nagy</t>
  </si>
  <si>
    <t>. ) Nini , tisztelendő úr , hát maga nem bőjtöl ?</t>
  </si>
  <si>
    <t>( Kissé megzavarodik . ) : Én ? Én kódulok azok helyett</t>
  </si>
  <si>
    <t>érdekkör gondoskodik a birálatról és egyik érdektárs vagy</t>
  </si>
  <si>
    <t>irja a másikról a dicsőitő birálatot a , , Lobts</t>
  </si>
  <si>
    <t>Sárkány : Mi közöm nekem a humanizmushoz ? Én nem vagyok</t>
  </si>
  <si>
    <t>, hanem ügyvéd . Mi van a Csongrádi féle perirattal</t>
  </si>
  <si>
    <t>katholicizmust , mely szeretetet sürget Isten s a</t>
  </si>
  <si>
    <t>iránt s bűnbánatra , türelemre , s hűséges , kitartó</t>
  </si>
  <si>
    <t>egymással . Én kifejeztem abbeli óhajtásomat , hogy</t>
  </si>
  <si>
    <t>koldulóbarát</t>
  </si>
  <si>
    <t>szeretnék lenni , mert azok mind kövérek és igy valószinüleg</t>
  </si>
  <si>
    <t>pártoltam . Én most nem mint kém jöttem ide , hanem mint</t>
  </si>
  <si>
    <t>. Csöndesen szólt Boka : - Te ide mint jóbarát nem</t>
  </si>
  <si>
    <t>mint jóbarát . Csöndesen szólt Boka : - Te ide mint</t>
  </si>
  <si>
    <t>nem jöhettél . Geréb lehorgasztotta a fejét . Arra</t>
  </si>
  <si>
    <t>, hogy fog-e valaha ő rajta ennyire uralkodni egy</t>
  </si>
  <si>
    <t>. Lord Harrynek meg van az a varázsa , hogy nagyon</t>
  </si>
  <si>
    <t>- Adjunk szegénynek egy falatkát ! . . . És a két</t>
  </si>
  <si>
    <t>ketté törte a zsemléjét , s a felét odatette Matyi</t>
  </si>
  <si>
    <t>Kristófnak , Szent Márknak békét hagyott , de Santa</t>
  </si>
  <si>
    <t>Barbarát</t>
  </si>
  <si>
    <t>, Santa Catharinát , sőt magát a Boldogságos Szűzet</t>
  </si>
  <si>
    <t>Akkora volt a nyomorúság Poe-ék házában , hogy nehány</t>
  </si>
  <si>
    <t>a végső szükség percében , amikor Poe belébetegedett</t>
  </si>
  <si>
    <t>míota az a kőház felépült ; soha vendég , asszony vagy</t>
  </si>
  <si>
    <t>, - soha egy árva kutya vagy egy kecskegidó sem lélekzett</t>
  </si>
  <si>
    <t>Nem , ez csúnya , rossz gondolat ! Ő idegen , csak</t>
  </si>
  <si>
    <t>, aki tartózkodó tiszteletből nem is merhet ilyen</t>
  </si>
  <si>
    <t>meg józan , rendes első férje után az eladósodott ,</t>
  </si>
  <si>
    <t>asszonybarát</t>
  </si>
  <si>
    <t>, mulatós agglegényben . . . Vitte őket és a kaszinókertben</t>
  </si>
  <si>
    <t>egy hatalmas szivarral kinálta meg vejét , aki nagy</t>
  </si>
  <si>
    <t>dohánybarát</t>
  </si>
  <si>
    <t>volt . Mindenki boldog volt tehát , még Gently ,</t>
  </si>
  <si>
    <t>Szinész . : Tőlem . Azt írtam neki , hogy mint őszinte</t>
  </si>
  <si>
    <t>művészetbarát</t>
  </si>
  <si>
    <t>, meg szeretnék a nagy művésznővel ismerkedni , de</t>
  </si>
  <si>
    <t>a vajda , Kantakuzén István előtt , mivel ez nagy</t>
  </si>
  <si>
    <t>németbarát</t>
  </si>
  <si>
    <t>lévén , mindenről értesítette volna Fleischmann konstantinápolyi</t>
  </si>
  <si>
    <t>rá . ) Pál : Te a katasztrófa óráiban mint férfi és</t>
  </si>
  <si>
    <t>állottál mellettem . Én akkor gyenge voltam , de</t>
  </si>
  <si>
    <t>elfogultan nézi . ) Cecile : Maga itt mind állandó</t>
  </si>
  <si>
    <t>van szerződtetve ? Sándor : ( tiltakozva : Pardon</t>
  </si>
  <si>
    <t>és tán ezek az igazi önzetlenek ! . . . A két régi</t>
  </si>
  <si>
    <t>összenézett egy pillanatra . A kik folyton együtt</t>
  </si>
  <si>
    <t>ifjuságomnak társa ! - Ifjuságodnak társa vagyok Suryakanta :</t>
  </si>
  <si>
    <t>férfibarát</t>
  </si>
  <si>
    <t>. Tudom szavaidat és tetteidet tudom . Téged nem</t>
  </si>
  <si>
    <t>fajta azonban igen beteges és gyenge , amiért is a</t>
  </si>
  <si>
    <t>azt a keblén melengeti . A kigyó igen buta állat</t>
  </si>
  <si>
    <t>és a legjobb esetben kezdő moziszínész és egyben ős</t>
  </si>
  <si>
    <t>turfbarát</t>
  </si>
  <si>
    <t>. - Mit nézi annyit , adja már . Mit szól az arcberendezésemhez</t>
  </si>
  <si>
    <t>event</t>
  </si>
  <si>
    <t>hogy tapsolt a jó Zsanti ! Ilyenkor ő publikum volt ,</t>
  </si>
  <si>
    <t>, ilyenkor arccal volt ő is a színpadnak fordulva</t>
  </si>
  <si>
    <t>, aki régóta ismerte , ezt mondta fontoskodva : -</t>
  </si>
  <si>
    <t>. Majd Fanniusszal együtt bement egy terembe . Ez</t>
  </si>
  <si>
    <t>előbbi beszélgetésük reflektálódott . Két megértő</t>
  </si>
  <si>
    <t>mosolya volt ez , akiket váratlanul összehozott a</t>
  </si>
  <si>
    <t>Pista . Timár arra gondolt , hogy ilyenkor rokon vagy</t>
  </si>
  <si>
    <t>magához szokta venni a gyermeket , hogy ne aludjon</t>
  </si>
  <si>
    <t>csengett a hangja , udvariasan , a világfi , a korrekt</t>
  </si>
  <si>
    <t>modorában , olyan ember fölényével , aki mindig tud</t>
  </si>
  <si>
    <t>sietek az Opera főpróbájára . . . - Kegyelmes uram</t>
  </si>
  <si>
    <t>? Nagy Ember szeme felcsillant . - Remélem , hogy</t>
  </si>
  <si>
    <t>Remélem , hogy valamikor még több leszek , mint egyszerű</t>
  </si>
  <si>
    <t>. . . A zene , kedves barátom , a zene az egyetlen</t>
  </si>
  <si>
    <t>megvalósítani . Erkölcsvolta pedig testvéri szeretet (</t>
  </si>
  <si>
    <t>szeretete ) s a testvér fogalma is fejlődik a történelem</t>
  </si>
  <si>
    <t>, nem Tiszát kellett volna oda küldeni ! És nem a</t>
  </si>
  <si>
    <t>német-barát</t>
  </si>
  <si>
    <t>Andrássyt kellett volna Svájcba küldeni , hogy az</t>
  </si>
  <si>
    <t>olyan koalicióba , amelyre a régi háborus uszitás és</t>
  </si>
  <si>
    <t>, nemzetiség- és nép-ellenes politika vezérei rányomják</t>
  </si>
  <si>
    <t>következtében - az osztrák trónt el is veszitené : egy</t>
  </si>
  <si>
    <t>uralkodónak reménye lehet a visszaszerzésre . De</t>
  </si>
  <si>
    <t>egészséges és meg fog élni . Hallgasd meg az öreg</t>
  </si>
  <si>
    <t>, bocsáss meg neki , élj boldogul és ne feledj el</t>
  </si>
  <si>
    <t>Hegedűs Pál , aki Gyulai Pál kedvence volt , nagy</t>
  </si>
  <si>
    <t>angolbarát</t>
  </si>
  <si>
    <t>, polihisztor , aki többek között Tolsztoj Mi a művészet</t>
  </si>
  <si>
    <t>megbántam . . . Ő mondja , én vagyok egy büdös zsidó , egy</t>
  </si>
  <si>
    <t>szerbbarát</t>
  </si>
  <si>
    <t>, jó , én azért mégis sajnáltam őtet , visszacsináltam</t>
  </si>
  <si>
    <t>, visszacsináltam az üzletet ; jó , legyek én egy</t>
  </si>
  <si>
    <t>, büdös zsidó , de a lóhoz ő nem ért és mégis én</t>
  </si>
  <si>
    <t>máma elmaradt a házból a mindennapos , megszokott</t>
  </si>
  <si>
    <t>. Mindebből nyilvánvaló , hogy Tóth Béla ideális</t>
  </si>
  <si>
    <t>nagyon megtetszett és megfelelt neki . Akkoriban a</t>
  </si>
  <si>
    <t>Haussman báró kegyéből sok fiatal író dolgozott a</t>
  </si>
  <si>
    <t>megkérte tőle Mathilde kezét . A válasz , s csakhamar a</t>
  </si>
  <si>
    <t>is , megjött : kérését nem utasítják el , de a fiatalok</t>
  </si>
  <si>
    <t>vidékre költözött ; ott a költő iránti tiszteletből egy</t>
  </si>
  <si>
    <t>irodalombarát</t>
  </si>
  <si>
    <t>támogatta , hogy eltengethesse életét . Verlaine</t>
  </si>
  <si>
    <t>mindhalálig nem látta többé . Papp Viktor , a gyermekkori</t>
  </si>
  <si>
    <t>is elveszett valahogy Ady mellől az élet kegyetlen</t>
  </si>
  <si>
    <t>1927-1930</t>
  </si>
  <si>
    <t>számítottunk , hogy majd csak találunk egy-két , a</t>
  </si>
  <si>
    <t>bara-barát</t>
  </si>
  <si>
    <t>keresztező friss nyomot , melyek közül kiválasztjuk</t>
  </si>
  <si>
    <t>törvényszerűsége , melyet sorsnak nevezhetünk . Mint a</t>
  </si>
  <si>
    <t>természetbarát</t>
  </si>
  <si>
    <t>egy fűszálban vagy egy mohában , a romantikus történelem</t>
  </si>
  <si>
    <t>levelek , lapok . . . Ne várj tőlem semmit , távol</t>
  </si>
  <si>
    <t>! Ne lesd a poétát , tirannus világ ! Barlangba huzódott</t>
  </si>
  <si>
    <t>nem mondtak ki . Széles alföldi uccán haladt a két</t>
  </si>
  <si>
    <t>. Kétoldalt fehérre meszelt házak villogtak a sűrűlombú</t>
  </si>
  <si>
    <t>mindenkinek eszébe jutott valaki , egy rokon , egy jótékony</t>
  </si>
  <si>
    <t>, egy adósuk , aki végre megfizette tartozását .</t>
  </si>
  <si>
    <t>csücsörítve nézegettem a fényképet , mint rajongó</t>
  </si>
  <si>
    <t>kutyabarát</t>
  </si>
  <si>
    <t>. De észrevettem , hogy a kalaúz ezt nem helyesli</t>
  </si>
  <si>
    <t>animal</t>
  </si>
  <si>
    <t>mosolyogva int : - " Jobb így ! " - s látom , hogy</t>
  </si>
  <si>
    <t>- " mint szemétredobott ruhát , szétrágtak volna</t>
  </si>
  <si>
    <t>új , nem ismert tájak szilánkjait fedezze fel s a</t>
  </si>
  <si>
    <t>Charlus fejtegetéseit meghallgassa . Az egész világháború</t>
  </si>
  <si>
    <t>barátaidat itthagytad árván . . . És bár elfelejtett sok</t>
  </si>
  <si>
    <t>, Van még ki megsirat , gondol reád . Emlékkönyvedbe</t>
  </si>
  <si>
    <t>tudományos készültséggel megírt , azonban turista és</t>
  </si>
  <si>
    <t>által is könnyen megérthető dolgozat , amenyiben</t>
  </si>
  <si>
    <t>uralkodott , patriarchális természetét követve , és a</t>
  </si>
  <si>
    <t>magyar-barát</t>
  </si>
  <si>
    <t>Sándor Lipót nádor hatása alatt . Ekkor jött a Martinovits-féle</t>
  </si>
  <si>
    <t>abszolutizmusa azonban gyilkos és szégyenteljes volt és a</t>
  </si>
  <si>
    <t>Habsburg-barát</t>
  </si>
  <si>
    <t>történetírók sem próbálják menteni . Szégyenteljes</t>
  </si>
  <si>
    <t>1936 e.</t>
  </si>
  <si>
    <t>Argentínában . Semmit se tud . Szeretője lesz a mostohának .</t>
  </si>
  <si>
    <t>Házibarát</t>
  </si>
  <si>
    <t>. Az élet szemét . Úgy élek , ahogy lehet . Az élet</t>
  </si>
  <si>
    <t>népe ( pl . a pap , tanító , falubeli ismerős v .</t>
  </si>
  <si>
    <t>) és vele együtt kezdje meg munkáját . Később aztán</t>
  </si>
  <si>
    <t>angol fizikum : az ösztöngyilkos puritánizmus ; a</t>
  </si>
  <si>
    <t>természettagadás . A regény főalakjai mint támogatók</t>
  </si>
  <si>
    <t>férfinemen-lévőket inkább óvta a csapdáktól . Tanácsadó volt és</t>
  </si>
  <si>
    <t>. Fiúké épúgy , mint a lányoké . A roskadozó nagy</t>
  </si>
  <si>
    <t>szomszédok , községháza , templom , bolt , kocsma , rokon ,</t>
  </si>
  <si>
    <t>, közös ujságolvasás , politikai gyűlés , érdekességek</t>
  </si>
  <si>
    <t>exponáltan demokratikus alkotmányvédő is , kit az egyik</t>
  </si>
  <si>
    <t>náci-barát</t>
  </si>
  <si>
    <t>röpirat zsidó nagytőkések bérencének gyaláz , a másik</t>
  </si>
  <si>
    <t>nagyon rá van szorulva . Most nagyon kellene neki egy</t>
  </si>
  <si>
    <t>, aki előtt könnyíthetne a lelkén . Isten ments ,</t>
  </si>
  <si>
    <t>parancsok nem negatív viselkedést , hanem isten és a</t>
  </si>
  <si>
    <t>szeretése törvényének a teljes betöltését követelik</t>
  </si>
  <si>
    <t>hogy ebben az összeállításban első helyre helyezte a</t>
  </si>
  <si>
    <t>iránt való kötelességeket , az isten iránt valókat</t>
  </si>
  <si>
    <t>1938 e.</t>
  </si>
  <si>
    <t>kegyencei , Szabédi , Varró , Wass és Szenczei . Sok</t>
  </si>
  <si>
    <t>, szólj ! Lesz gyümölcs a gallyon , mely benned ily</t>
  </si>
  <si>
    <t>Henrik herceg műve volt és része lehetett benne a</t>
  </si>
  <si>
    <t>magyarbarát</t>
  </si>
  <si>
    <t>Arnulf herceg - úgy lehet magyar anyától született</t>
  </si>
  <si>
    <t>szerencsésen egyesült az egykori magyarellenes szász és</t>
  </si>
  <si>
    <t>bajor hercegi házak vére és hagyománya . Mint a bajor</t>
  </si>
  <si>
    <t>örököse volt a bajor hercegek és lombard királyok</t>
  </si>
  <si>
    <t>politikájának . Politikáját és érzelmeit örökölték</t>
  </si>
  <si>
    <t>mellett egy bizonyos hölgyre Akiről tudta hogy nagy</t>
  </si>
  <si>
    <t>s szereti felvinni a liftben Nem lustaságból mert</t>
  </si>
  <si>
    <t>verseit megkapta , Csehy József , egy rokonszenves</t>
  </si>
  <si>
    <t>, valamelyik galiciai garnizonban , akit az Isten</t>
  </si>
  <si>
    <t>aranylelete fekszik a soproni prédikátor kezében . Az</t>
  </si>
  <si>
    <t>öröme s a diktátor aggodalma egyszerre csap fel .</t>
  </si>
  <si>
    <t>hallomásból tudnak valamit . Egyetlen ismerősével , az</t>
  </si>
  <si>
    <t>Sárközivel is Kazinczy ismerteti össze Széphalomból</t>
  </si>
  <si>
    <t>amilyeneket én is tudnék festeni » . Ilyen műértő és</t>
  </si>
  <si>
    <t>volt Berzsenyi Dániel . Az udvari színházban egy</t>
  </si>
  <si>
    <t>hulladékot lelkem mind megótta . A kedves lányok , a sok</t>
  </si>
  <si>
    <t>, elmenekültek messze már azóta , de még fülemben</t>
  </si>
  <si>
    <r>
      <t>éppen ugy nem folytatott</t>
    </r>
    <r>
      <rPr>
        <sz val="11"/>
        <rFont val="Trebuchet MS"/>
        <family val="2"/>
        <charset val="238"/>
      </rPr>
      <t xml:space="preserve"> német barát</t>
    </r>
    <r>
      <rPr>
        <sz val="11"/>
        <color rgb="FF000000"/>
        <rFont val="Trebuchet MS"/>
        <family val="2"/>
        <charset val="238"/>
      </rPr>
      <t xml:space="preserve"> politikát , mint</t>
    </r>
  </si>
  <si>
    <t>oroszbarát</t>
  </si>
  <si>
    <t>politikát , - hanem lengyel politikát . Különben</t>
  </si>
  <si>
    <t>oldala mellett , egy tapasztalt , higgadt valaki , egy</t>
  </si>
  <si>
    <t>, vagy mondjuk egy jóbarátnő , aki arra ügyel , hogy</t>
  </si>
  <si>
    <t>nevettetni a polgártársaimat . Ez nem a költő , hanem az</t>
  </si>
  <si>
    <t>elégtétele . A nevető ember kiszabadul a földi élet</t>
  </si>
  <si>
    <t>nehogy vétsenek a jog , törvény és igazság ellen . Nagy</t>
  </si>
  <si>
    <t>nőbarát</t>
  </si>
  <si>
    <t>volt . A nőiességet főleg akkor tisztelte , ha ballet-szoknyát</t>
  </si>
  <si>
    <t>két táncosnőt is vitt magával a szalonkocsijában . A</t>
  </si>
  <si>
    <t>kormány-barát</t>
  </si>
  <si>
    <t>sajtó akkoriban olyan áhítattal kezdte lengetni a</t>
  </si>
  <si>
    <t>különben igaz is lehet . A mi családunkban mindenki</t>
  </si>
  <si>
    <t>állatbarát</t>
  </si>
  <si>
    <t>volt , Feri ezt a hajlamot fokozott mértékben örökölte</t>
  </si>
  <si>
    <t>is kell . Az OMGE kevesli az évi 180 munkanapot , a</t>
  </si>
  <si>
    <t>szociológusok nemzeti szerencsétlenségnek tartják</t>
  </si>
  <si>
    <t>munkás cégére került . A , , Munkás Segély " táblája .</t>
  </si>
  <si>
    <t>Emberbarát</t>
  </si>
  <si>
    <t>intellektuelek alapítása volt ez az egyesület . Hosszú</t>
  </si>
  <si>
    <t>erre jártam . SÁRI ( érezhető gúnnyal ) : A hűséges</t>
  </si>
  <si>
    <t>. GYÖRGY ( egy mosollyal ) : A sok beteg ember után</t>
  </si>
  <si>
    <t>szállt fell a csillagokba s mi bucsuzunk öt meghitt</t>
  </si>
  <si>
    <t>. Népek zuhantak fojtó szolgaságba , a homlokunkon</t>
  </si>
  <si>
    <t>sokáig ilyen szokatlan szövegű tábla volt kitéve : -</t>
  </si>
  <si>
    <t>Állatbarát</t>
  </si>
  <si>
    <t>állatkedvelőnőt keres élettársul , vagyon mellékes</t>
  </si>
  <si>
    <t>szakított a háború első két esztendejében követett</t>
  </si>
  <si>
    <t>külpolitikájával s fölégetve minden hidat anglia</t>
  </si>
  <si>
    <t>nem is házaspár , hanem háromszög . Férj , feleség ,</t>
  </si>
  <si>
    <t>. Az ember nem láthat át a falon , de gyanakodtam</t>
  </si>
  <si>
    <t>szemüveges , porcellánfogú , gyámoltalan kis öreg volt . A</t>
  </si>
  <si>
    <t>úgy ragyogott az ifjúságtól , mint egy vadonatúj</t>
  </si>
  <si>
    <t>Megtettem , amit a hölgy parancsolt . Mindkettőjüket a</t>
  </si>
  <si>
    <t>szobájában találtam . A fiú csomagolt , a férj éppen</t>
  </si>
  <si>
    <t>nyelvekben élesebben kirajzolódik , mert ezekben a «</t>
  </si>
  <si>
    <t>» szónak a « közeli » , « szomszéd » kifejezés proximus</t>
  </si>
  <si>
    <t>Egy Baudelaire-fordításomat , az Őszi ének -et , a</t>
  </si>
  <si>
    <t>diáklány-barát</t>
  </si>
  <si>
    <t>húsvétkor magával vitte és Pesten megmutatta Babitsnak</t>
  </si>
  <si>
    <t>L . felesége , a nagy muzsikus asszonya , az apai</t>
  </si>
  <si>
    <t>felesége most itt állt előttem , egy pamlagon , és</t>
  </si>
  <si>
    <t>okos és a balga szüzekről tart rögtön előadást a régi</t>
  </si>
  <si>
    <t>Pálos-barát</t>
  </si>
  <si>
    <t>, aki egykor a mai Szép Juhászné környékén remetéskedett</t>
  </si>
  <si>
    <t>hittel , kétkedés nélkül olvasta az irányított sajtó</t>
  </si>
  <si>
    <t>cikkeit - viszont a németek már tudták , hogy valami</t>
  </si>
  <si>
    <t>hadsereg legnagyobb része nyilas vagy legalább is</t>
  </si>
  <si>
    <t>volt . A függetlenségi mozgalmat szétverték , a tömegeket</t>
  </si>
  <si>
    <t>védi , óvja . Szülő , gyerek , testvér , család És</t>
  </si>
  <si>
    <t>, A kék homályon így repül keresztül A csöndes ,</t>
  </si>
  <si>
    <t>az új Európába . Néhány zokszó ez csak a magyarság</t>
  </si>
  <si>
    <t>politikájához , melyet az ész kínált , és az ösztön</t>
  </si>
  <si>
    <t>hozta létre s döntően befolyásolta annak a radikálisan</t>
  </si>
  <si>
    <t>csoportnak működését , amelyet " népi írók " névvel</t>
  </si>
  <si>
    <t>önmagához hű magyarság őrzőjét pillantotta meg . A</t>
  </si>
  <si>
    <t>hang , amelynek erejét így több forrás is táplálta</t>
  </si>
  <si>
    <t>divat elemeit is elvetette . Göre Gábor alakját még a</t>
  </si>
  <si>
    <t>közhangulat ihletében alkotta meg Gárdonyi ; az a</t>
  </si>
  <si>
    <t>romantikus íróink műveiben is megdicsőül . Petőfi lángoló</t>
  </si>
  <si>
    <t>forradalmisága közismert s tudjuk , hogy a magyar</t>
  </si>
  <si>
    <t>elévülhetetlen jogaik birtokába jussanak . Ilyenmódon</t>
  </si>
  <si>
    <t>leszek , anélkül , hogy megszűnnék jó hazafi lenni</t>
  </si>
  <si>
    <t>nem lehetne egymással megegyeztetni , akkor inkább</t>
  </si>
  <si>
    <t>, mint patrióta akarok lenni . Ez az én elméletem</t>
  </si>
  <si>
    <t>képviselik , ezért van mélyenfekvő összefüggés az</t>
  </si>
  <si>
    <t>szovjetbarát</t>
  </si>
  <si>
    <t>politika és a kommunisták részvételével folyó kormányzás</t>
  </si>
  <si>
    <t>átnézett vállukon . - Száj és köröm ? Hát maga is . . . ?</t>
  </si>
  <si>
    <t>Marhabarát</t>
  </si>
  <si>
    <t>bárd . Grimbusz ismert vendéglőben - Jónapot - felelte</t>
  </si>
  <si>
    <t>romjai között . A várvavárt sok csoda hol van , sok</t>
  </si>
  <si>
    <t>, sok szépleány ? Lyukas hálót húzgáltam volna "</t>
  </si>
  <si>
    <t>maradt valami kis zavar közöttünk : a baráti lány csak</t>
  </si>
  <si>
    <t>fél-barát</t>
  </si>
  <si>
    <t>volt , félig ostobán huzódó , vagy követelő . Ha</t>
  </si>
  <si>
    <t>megcsalatkoznék benne , legyen az a valaki atya vagy</t>
  </si>
  <si>
    <t>, akár még idegen ember is . Elhatározta tehát ,</t>
  </si>
  <si>
    <t>1948-1949</t>
  </si>
  <si>
    <t>. Pedig Kökényesdy nem volt nyilas . Dehogy volt .</t>
  </si>
  <si>
    <t>Angolbarát</t>
  </si>
  <si>
    <t>volt . Aki azt várta , hogy egy szépnapon leszállnak</t>
  </si>
  <si>
    <t>fel a versenyt . Faragó vézna kis parasztfiú . Nagy</t>
  </si>
  <si>
    <t>. Az osztály kedvence . Csendes gyerek , de amikor</t>
  </si>
  <si>
    <t>mint egy rész a családból , mint a tűzhely lelke ,</t>
  </si>
  <si>
    <t>, pajtás , aki nálunk is jobban megmondja , milyen</t>
  </si>
  <si>
    <t>következménye ennek az lett csupán , hogy a két kiéhezett</t>
  </si>
  <si>
    <t>nekiült az előételeknek s vajaskenyérrel , füstölthallal</t>
  </si>
  <si>
    <t>fordulatot jelentenek Jósika Kálmán drámái . A két</t>
  </si>
  <si>
    <t>( 1871 ) ugyan francia környezetben játszódik , de</t>
  </si>
  <si>
    <t>csókolt feleségének , mint egy idegen nőnek . A két</t>
  </si>
  <si>
    <t>hallgatott . Egyikük sem szólalt meg . Pierre Andrej</t>
  </si>
  <si>
    <t>fiatalember , a diák meg a tiszt , a két gyermekkori</t>
  </si>
  <si>
    <t>egyívású és egyaránt szép , de nem hasonlít egymáshoz</t>
  </si>
  <si>
    <t>kiugró oromra , kőmíves-turisták emelik már a falat ,</t>
  </si>
  <si>
    <t>ácsok szekercéje munkál a tetőszerkezeten . . . Ülnek</t>
  </si>
  <si>
    <t>személyes győzelmének tekintette Hatvany , a gazdag</t>
  </si>
  <si>
    <t>zsidó mágnás felett . Megindult levelezésük mind</t>
  </si>
  <si>
    <t>elűzött reáliskolai tanár , aki a legmegingathatatlanabb</t>
  </si>
  <si>
    <t>Ady-barát</t>
  </si>
  <si>
    <t>. Nem véletlen , hogy Kolozsvárott Ady-verseket idéz</t>
  </si>
  <si>
    <t>1900-ban megjelent munkája ( Bizánci párbeszédek ,</t>
  </si>
  <si>
    <t>Dreyfus-barát</t>
  </si>
  <si>
    <t>cikkgyűjtemény ) után még vagy harminc kötetet írt</t>
  </si>
  <si>
    <t>arra fog toporogni ? Vagy népi fazekakban fogja a</t>
  </si>
  <si>
    <t>meg a zinkpasztát tartani ? Ahelyett , hogy bejönne</t>
  </si>
  <si>
    <t>simogatta annyit az arcát ) s a patrónus , az atyai</t>
  </si>
  <si>
    <t>szerepében igyekszik megkörnyékezni ? Tanáccsal ,</t>
  </si>
  <si>
    <t>papminiszter : Vas József munkája , aki professzionátus</t>
  </si>
  <si>
    <t>, a szubrettek és prímaballerinák érdemdús kedvelője</t>
  </si>
  <si>
    <t>és határtalan lelkesedéssel . Emma nővér , a nagy</t>
  </si>
  <si>
    <t>, elkámpicsorodik , amikor értesül a cseréről , mert</t>
  </si>
  <si>
    <t>nincs . . . elmenekült . . . Új kormány alakult . . .</t>
  </si>
  <si>
    <t>Oroszbarát</t>
  </si>
  <si>
    <t>kormány . . . Az Ensz már ülésezik . Lehet , hogy</t>
  </si>
  <si>
    <t>figyelmét . Mint írja , a nyugati országokban mindenütt "</t>
  </si>
  <si>
    <t>szovjet-barát</t>
  </si>
  <si>
    <t>irányzatok észlelhetők " . " Mi magyarok , akik sajnálatosan</t>
  </si>
  <si>
    <t>lehet őket hamis igéretekkel megtéveszteni s hogy a</t>
  </si>
  <si>
    <t>álarca mögött mindinkább felismerik valódi ellenségeiket</t>
  </si>
  <si>
    <t>az asztalnál , mint egyedül én is ; hiába a három</t>
  </si>
  <si>
    <t>, a kedvet kibontó szesz , ha csökönyös gondom rám</t>
  </si>
  <si>
    <t>Kedrova a 4 . számban Mohamed Iqbal 1873-1938 közt élt</t>
  </si>
  <si>
    <t>indiai mohamedán költő és publicista munkásságát</t>
  </si>
  <si>
    <t>meg , s a hosszú szibériai évek fogságából hazatérő</t>
  </si>
  <si>
    <t>képe és keserű szava - , , Haza ? Ki tudja , hol</t>
  </si>
  <si>
    <t>történt . Az ünnepélyes nyitóestre még eljöttek a</t>
  </si>
  <si>
    <t>kollégisták . Lélegzetfojtó izgalommal figyeltem</t>
  </si>
  <si>
    <t>levelében , , szerelemmé mélyítené a barátságot egy</t>
  </si>
  <si>
    <t>halálának szép és irodalmias leírásával ' ' ( , ,</t>
  </si>
  <si>
    <t>harmóniavágyról mégsem lehetne , s arról sem , hogy a meghalt</t>
  </si>
  <si>
    <t>- akinek a halálát leírja Móricz - Kernáts Ilonának</t>
  </si>
  <si>
    <t>nappalt az atyával ! CLARICE Atyjával az atyám régóta</t>
  </si>
  <si>
    <t>. ALCIPPE Beszélgetésteket ez indokolta hát ? Rajta</t>
  </si>
  <si>
    <t>tábornok , egy kivételes műveltségű , emberséges érzésű</t>
  </si>
  <si>
    <t>( bámulatos , de ilyen is akadt a K . und K . tábornoki</t>
  </si>
  <si>
    <t>Ezeket tehát többre értékelik . Jellegzetesen barát- és</t>
  </si>
  <si>
    <t>könyvbarát</t>
  </si>
  <si>
    <t>szemlélet : kár , hogy megtéveszti az uralkodót .</t>
  </si>
  <si>
    <t>szikra is elég volt a robbanáshoz . Szerbiában az</t>
  </si>
  <si>
    <t>osztrákbarát</t>
  </si>
  <si>
    <t>Obrenovics uralkodót és családját már kiirtották</t>
  </si>
  <si>
    <t>Obrenovics uralkodót és családját már kiirtották az</t>
  </si>
  <si>
    <t>Karagyorgyevicsek , és emberük most 1914 . június</t>
  </si>
  <si>
    <t>lövöldözés után elkergették Lopez Burillót , a jobboldali ,</t>
  </si>
  <si>
    <t>Amerikabarát</t>
  </si>
  <si>
    <t>, reakciós beállítottságú elnököt , és a haladó gondolkozású</t>
  </si>
  <si>
    <t>is rövid lövöldözés után elkergetni Aurelio Lapaz</t>
  </si>
  <si>
    <t>, jobboldali beállítottságú elnököt , aki alig háromnegyed</t>
  </si>
  <si>
    <t>hanyagságból , talán félelemből , mert nem tudhatta , hogy a</t>
  </si>
  <si>
    <t>franciabarát</t>
  </si>
  <si>
    <t>nemesek nem fordítják-e a Habsburgok ellen a fegyvert</t>
  </si>
  <si>
    <t>szervezetet . Sajátos módon , hogy a munkásság előtt</t>
  </si>
  <si>
    <t>munkásbarát</t>
  </si>
  <si>
    <t>színben tetszeleghessenek , a szakszervezeteket s</t>
  </si>
  <si>
    <t>Két nagybendős papzsák ! Kishitűnek , minket ? ! Két</t>
  </si>
  <si>
    <t>! Kishitűnek , Megítéltetés alőtt ? ! Jámborok !</t>
  </si>
  <si>
    <t>Mühl Henrik , a Volksbund hírhedtté vált vezére , a</t>
  </si>
  <si>
    <t>Hitler-barát</t>
  </si>
  <si>
    <t>svábság irányítója a 30-as évek második felétől .</t>
  </si>
  <si>
    <t>emlékezetben tartják őket az öregek . Nagyszalontán híres</t>
  </si>
  <si>
    <t>betyár volt Fábián Pista ; a hagyomány szerint sohasem</t>
  </si>
  <si>
    <t>megújítása . De nemcsak jelentős gondolkodó , hanem nagy</t>
  </si>
  <si>
    <t>és korának eszméit értő és alkalmazó egyéniség is</t>
  </si>
  <si>
    <t>természetesen egészében nem volt barátságos egy következetesen</t>
  </si>
  <si>
    <t>, népi demokratikus jellegű mozgalommal szemben .</t>
  </si>
  <si>
    <t>képviselteti magát az Államok erkölcsi lelkiismerete , 1 a</t>
  </si>
  <si>
    <t>Vietnam-barát</t>
  </si>
  <si>
    <t>és erőszakellenes amerikaiak ( főleg értelmiségiek</t>
  </si>
  <si>
    <t>fölvetik , részleges választ adnak , miért nem boldogul a</t>
  </si>
  <si>
    <t>amerikai Vietnamban . Így automatikusan továbbszövik</t>
  </si>
  <si>
    <t>jutottak el Clazomenae városáig . Élt ott egy gazdag</t>
  </si>
  <si>
    <t>művész-barát</t>
  </si>
  <si>
    <t>, aki ismerte a költő verseit . Meghívta őt , adott</t>
  </si>
  <si>
    <t>? És őt ne ismerném ? ORBÁNNÉ Úgy tudom , nem vagy</t>
  </si>
  <si>
    <t>operabarát</t>
  </si>
  <si>
    <t>. PAULA De hisz őt mindenki ismeri ! Ő világhírű</t>
  </si>
  <si>
    <t>teknőst akar venni , talán úgy gondolták , hogy nagy</t>
  </si>
  <si>
    <t>lehet , és egy állatbarátnak mindegy , milyen állatot</t>
  </si>
  <si>
    <t>lett Bethlen István hivatalos orgánuma . A német- és</t>
  </si>
  <si>
    <t>nácibarát</t>
  </si>
  <si>
    <t>Gömbös-kormány ellenzékeként Bethlenék a 8 Órai hasábjain</t>
  </si>
  <si>
    <t>énnekem anno dacuma egy előadóm , az borzasztó ilyen</t>
  </si>
  <si>
    <t>volt . Az elmondta énnekem egyszer a Rákóczi-indulót</t>
  </si>
  <si>
    <t>, hogy nem lehet velem beszélni , támadom Kádárt ,</t>
  </si>
  <si>
    <t>Kína-barát</t>
  </si>
  <si>
    <t>, dogmatikus , szektás vagyok stb . Ha nektek szabad</t>
  </si>
  <si>
    <t>Szegeden egyetemi katedrára kerülő , segítő és ösztönző</t>
  </si>
  <si>
    <t>, Zolnai Béla szerkesztésében megjelenő Széphalom</t>
  </si>
  <si>
    <t>pátosszal utasítja vissza Szekfű történetfelfogásának</t>
  </si>
  <si>
    <t>és Habsburg-hű orientációját , és népünk és kultúránk</t>
  </si>
  <si>
    <t>összeköttetéseiktől és rokonszenvüktől indíttatva</t>
  </si>
  <si>
    <t>antant-barát</t>
  </si>
  <si>
    <t>álláspontot foglaltak el . Lukács azonban , mint</t>
  </si>
  <si>
    <t>megörökítve , körülrajonghatják a nagy romantikus író ( és</t>
  </si>
  <si>
    <t>) sírját . Nyomukban a hozzájuk való férfiak , sokkal</t>
  </si>
  <si>
    <t>kap minden szomszédos ország az ott esetleg létező</t>
  </si>
  <si>
    <t>gerillacsapatok leküzdésére . Hogy e két ígéret csak</t>
  </si>
  <si>
    <t>áruló román vagy vad szerb . S legfeljebb egyetlen</t>
  </si>
  <si>
    <t>katonabarát</t>
  </si>
  <si>
    <t>. Nagy , emberi távolságokat őriz a bakatörténelem</t>
  </si>
  <si>
    <t>tágabb értelemben gyakran felváltva szokták használni a</t>
  </si>
  <si>
    <t>és a testvér szót . Az " Álomtól a felfedezésig "</t>
  </si>
  <si>
    <t>azonban az ár- nyékot kedvelem . Szeretném , ha a kedves</t>
  </si>
  <si>
    <t>Növénybarát</t>
  </si>
  <si>
    <t>a tűző naptól is megvédene . Nagy örömem telik ab-</t>
  </si>
  <si>
    <t>adóterhek és a napirenden levő önkényeskedések . Heródes</t>
  </si>
  <si>
    <t>Róma-barát</t>
  </si>
  <si>
    <t>politikája különösen súlyos terheket rótt a nép vállára</t>
  </si>
  <si>
    <t>És ez lehetetlen . Jó magyar akart lenni és őszinte</t>
  </si>
  <si>
    <t>. Azok akadályozták meg , akikért leginkább tette</t>
  </si>
  <si>
    <t>orosz cár személyében is elválaszthatatlan és jótékony</t>
  </si>
  <si>
    <t>lengyelbarát</t>
  </si>
  <si>
    <t>politikájára ; a cár eszméinek terjesztőjeként fog</t>
  </si>
  <si>
    <t>nemegyszer hangsúlyozta az új tudományra váró filantróp ,</t>
  </si>
  <si>
    <t>célokat is , melyeket a Fama Fraternitatis -ból már</t>
  </si>
  <si>
    <t>egyszerűsödik majd a stílusom . ' ' ( Megnyugodhatik hát , aki</t>
  </si>
  <si>
    <t>! ) ( Szaporodnak a jelek . ) , , Na de Kálmán bácsi</t>
  </si>
  <si>
    <t>koromból ? Jelszava a lelki karambol ! 1 . ( Jövendőbeli</t>
  </si>
  <si>
    <t>) Burjánzó lelke vadon , nyeshetetlen , ám áttekinthető-bejárható</t>
  </si>
  <si>
    <t>, citrom héja . A külső hártyát lehántva , az 1 kg</t>
  </si>
  <si>
    <t>3-4 cm-es darabokra vágjuk , jól megmossuk , 1 l</t>
  </si>
  <si>
    <t>2 cipóba , 1 / 2 órát pihentetjük . Közben 60 dkg</t>
  </si>
  <si>
    <t>apróra felvágjuk , kevés vízzel , citromhéjjal és</t>
  </si>
  <si>
    <t>cukor , 1 citrom reszelt héja , 2 dkg zselatin . A</t>
  </si>
  <si>
    <t>megtisztítjuk , majd cukros , citromhéjas vízben</t>
  </si>
  <si>
    <t>Rétes rebarbarával A megtisztított és felszeletelt</t>
  </si>
  <si>
    <t>kevés vízzel és cukorral sűrűre megpároljuk , citrommal</t>
  </si>
  <si>
    <t>Hozzákeverjük egyenként a 8 tojás sárgáját , 8 dkg cukrot . A</t>
  </si>
  <si>
    <t>apró kockára vágva megfőzzük kompótnak , tányérra</t>
  </si>
  <si>
    <t>beszórjuk pirított , vagdalt dióval . Rebarbara-desszert A</t>
  </si>
  <si>
    <t>megpucoljuk , jól megmossuk , feldaraboljuk , forró</t>
  </si>
  <si>
    <t>értelmében vett zsarnok magántulajdona . Egy művelt ,</t>
  </si>
  <si>
    <t>, kegyetlen , hiú emberé , aki legalább gondol annyira</t>
  </si>
  <si>
    <t>keres engem , de én azért is elmentem a Jozsóval , aki</t>
  </si>
  <si>
    <t>, és semmit se nőtt a nyáron . Otthon mondtam anyunak</t>
  </si>
  <si>
    <t>cukorral vagy anélkül - csomagoljuk , fagyasztjuk . A</t>
  </si>
  <si>
    <t>nemcsak hámozzuk , de 2-3 centis darabokra fel is</t>
  </si>
  <si>
    <t>ellenségei voltak még ? Cinikus ? Hős ? Fanatikus</t>
  </si>
  <si>
    <t>? Kicsoda ez a városbíró ? Egy bizonyos . Az , hogy</t>
  </si>
  <si>
    <t>koldusköltő , Norwid poklán . " Ott nincsen testvér ,</t>
  </si>
  <si>
    <t>, ember , Csak testvérszívek tanulmányozása . . .</t>
  </si>
  <si>
    <t>élet reménységével ? Egy édennel , ahol testvér van ,</t>
  </si>
  <si>
    <t>, ember , ahol érzések vannak és célok ? " Óh Mária</t>
  </si>
  <si>
    <t>' ; - és lehetetlen itt összefüggést nem látnunk a</t>
  </si>
  <si>
    <t>makedónbarát</t>
  </si>
  <si>
    <t>Arisztotelész és pártja pánhellén eszméivel , a sok</t>
  </si>
  <si>
    <t>. 1936 elején hasonló végkövetkeztetésre jutott a</t>
  </si>
  <si>
    <t>fasisztabarát</t>
  </si>
  <si>
    <t>új jugoszláv miniszterelnök , Stojadinović is , aki</t>
  </si>
  <si>
    <t>állapotát mihamarabb visszanyerje . Ehhez szüksége van a</t>
  </si>
  <si>
    <t>, az idősebb , tapasztaltabb ember segítségére .</t>
  </si>
  <si>
    <t>, ma is az Isten háta mögött , s a múzeumőr , nagy</t>
  </si>
  <si>
    <t>, mindkétszer erősítette , hogy , , Veszprim ' '</t>
  </si>
  <si>
    <t>vállalja , mitikus alakban . Heltai Gáspár e regebeli</t>
  </si>
  <si>
    <t>hős leghatásosabb népszerűsítője . Ha eredetre Mátyás</t>
  </si>
  <si>
    <t>Minden hirtelen leegyszerűsödik : aki az utcán van , az</t>
  </si>
  <si>
    <t>, aki meg nem az , az úgysem meri kidugni az orrát</t>
  </si>
  <si>
    <t>megbizhatatlanságát és a vezérkari osztályok vezetőinek</t>
  </si>
  <si>
    <t>, nyilas érzelmeit , számolt azzal , hogy a Vár összeköttetése</t>
  </si>
  <si>
    <t>ezredesnek , a vezérkar hadműveleti osztálya - egyébként</t>
  </si>
  <si>
    <t>- vezetőjének a katonai helyzetről adott valósághű</t>
  </si>
  <si>
    <t>csapatok engedelmeskedni fognak nyilas érzelmű és</t>
  </si>
  <si>
    <t>parancsnokaiknak ? Hol maradnak a szembefordulásra</t>
  </si>
  <si>
    <t>sikerült egészen magas kormányhivatalokig eljutniok és</t>
  </si>
  <si>
    <t>elemek árasztották el a legfontosabb intézményeket</t>
  </si>
  <si>
    <t>latin-amerikai kormányokkal való zavartalan barátság , mint a</t>
  </si>
  <si>
    <t>tervek keresztülvitele . Kovács Imre 1963 október</t>
  </si>
  <si>
    <t>patronáló hatalmat pedig meg tudta nyugtatni , hogy a</t>
  </si>
  <si>
    <t>reformbarát</t>
  </si>
  <si>
    <t>irányzat nem vezet a kommunista hatalom megingásához</t>
  </si>
  <si>
    <t>process</t>
  </si>
  <si>
    <t>Spanyolországban alapított egy szocialista , de nem</t>
  </si>
  <si>
    <t>pártot . Ennek lett aztán tagja a polgárháború idején</t>
  </si>
  <si>
    <t>trockistának mondott , valójában azonban baloldali , de nem</t>
  </si>
  <si>
    <t>kommunistákat . Úgy látszik , Gerőéknek ők voltak</t>
  </si>
  <si>
    <t>szállodában , előadás utáni vacsoránál egy nyurga , ifjú</t>
  </si>
  <si>
    <t>, szép lánynak mutattuk be . Vidékről járt be a színházba</t>
  </si>
  <si>
    <t>8-án délelőtt 1 / 2 12 tájban így is mintegy 200-250</t>
  </si>
  <si>
    <t>környezetbarát</t>
  </si>
  <si>
    <t>jelent meg a Batthyányi téri találkozóhelyen : ki</t>
  </si>
  <si>
    <t>Kalendárium , Pulzus , Sakk-matt , Stúdió ' 81 , Telesport ,</t>
  </si>
  <si>
    <t>Természetbarát</t>
  </si>
  <si>
    <t>, Tízen Túliak Társasága , Vasárnap délután , Zene</t>
  </si>
  <si>
    <t>1987-1988</t>
  </si>
  <si>
    <t>jelentette meg a műveket , sorozatokat indított ,</t>
  </si>
  <si>
    <t>kört , irodalmi esteket szervezet , amelyeken a népi</t>
  </si>
  <si>
    <t>, a betegség ellen az utolsó pillanatig elszántan</t>
  </si>
  <si>
    <t>utólagos helyzetértékelése : , , József Attila öngyilkossága</t>
  </si>
  <si>
    <t>külsőségek és jelszavak képviselik a harmincas évek , ,</t>
  </si>
  <si>
    <t>' ' úri diktatúrájának művelődéspolitikájában . A</t>
  </si>
  <si>
    <t>eredetileg egyházi iskolákban és körökben vált honossá .</t>
  </si>
  <si>
    <t>címmel a Református Ismeretterjesztés adott ki többek</t>
  </si>
  <si>
    <t>színekbe öltözött asszonyok között . Keményebb típus az</t>
  </si>
  <si>
    <t>sógornő , aki csak azért látogat a gyulai kastélyba</t>
  </si>
  <si>
    <t>Másnap feldarabolta a fiatal feleségét . Egy érdemes</t>
  </si>
  <si>
    <t>körül számos hulla akad . Norbert most íme szabad</t>
  </si>
  <si>
    <t>riadalmat kelt . A nyugati önszeretet világában a</t>
  </si>
  <si>
    <t>szeretete nem ésszerű . Elég , ha kedves vagy ahhoz</t>
  </si>
  <si>
    <t>kis asztal és három karosszék . A háziasszony , ha</t>
  </si>
  <si>
    <t>jön , azt tartja a legegyszerűbbnek , ha felhoz a</t>
  </si>
  <si>
    <t>rendszerének a tagja volt , és a Párizsban tanuló</t>
  </si>
  <si>
    <t>román diákok száma a lengyelekével vetekedett . S</t>
  </si>
  <si>
    <t>szerint is érintett . Despina Tomescu úgy , mint egy</t>
  </si>
  <si>
    <t>román értelmiségi , aki 1968-ban lelkesen tapsolt</t>
  </si>
  <si>
    <t>iskola legfőbb támaszai és szövetségesei . Tanítványai</t>
  </si>
  <si>
    <t>görögbarát</t>
  </si>
  <si>
    <t>( , , grecoman ' ' ) atyjuk akaratával is bátran</t>
  </si>
  <si>
    <t>Vietnam-történetében , a Szarvasvadász -ban is . Három</t>
  </si>
  <si>
    <t>teszi meg az utat , indul el a pennsylvaniai , ukránok</t>
  </si>
  <si>
    <t>elnevezés ? Megszállott filmklubvezetők és néhány száz</t>
  </si>
  <si>
    <t>filmbarát</t>
  </si>
  <si>
    <t>? Ők is talán csak azért , mert évekig nem láthattak</t>
  </si>
  <si>
    <t>. " ( Figyelő , július 5 . 11 . Gallai Andrea : A</t>
  </si>
  <si>
    <t>vállalkozásbarát</t>
  </si>
  <si>
    <t>politika kevés ) . Nem kétséges , hogy adózási feltételek</t>
  </si>
  <si>
    <t>tetemét szállítja föl-le . N . b . : az állva meghaló</t>
  </si>
  <si>
    <t>tudattalan emlékezéssel , vagy szándékos idézetként</t>
  </si>
  <si>
    <t>népesítette be a maga színházát . Daines Barrington , a</t>
  </si>
  <si>
    <t>jogász feljegyezte Mozart londoni szereplése idején</t>
  </si>
  <si>
    <t>óra : Ma éjszaka a Planetáriumban ( P ) : 18 óra :</t>
  </si>
  <si>
    <t>Ásványbarát</t>
  </si>
  <si>
    <t>szakkör : Klubnap ( TIT St . ) CSÜTÖRTÖK : 9 . 30</t>
  </si>
  <si>
    <t>. 30 és 16 óra : Égi-földi csízió ( P ) ; 18 óra :</t>
  </si>
  <si>
    <t>Díszmadárbarát</t>
  </si>
  <si>
    <t>klub : Klubnap ( TIT St . ) PÉNTEK : 9 . 30 és 11</t>
  </si>
  <si>
    <t>összegyűjtött műveim , ezer oldalon . Tudom , hogy nagy</t>
  </si>
  <si>
    <t>sakkbarát</t>
  </si>
  <si>
    <t>: a Libération című francia lapban kommentálta a</t>
  </si>
  <si>
    <t>és ultimátumot adott át Mihály királynak . Ebben a</t>
  </si>
  <si>
    <t>kommunistabarát</t>
  </si>
  <si>
    <t>Petru Groza miniszterelnöki kinevezését követelték</t>
  </si>
  <si>
    <t>megcsappant , a hangulat romlott . A csalódottságot még a</t>
  </si>
  <si>
    <t>politika legexponáltabb magyar képviselői sem hagyhatták</t>
  </si>
  <si>
    <t>Kárpát-csoport volt parancsnoka , aki kifogástalan</t>
  </si>
  <si>
    <t>. Werth lemondása feltehetően a szovjet fronton bevetésre</t>
  </si>
  <si>
    <t>előtte nem volt szokás . Fogadtatása a kormány ismert</t>
  </si>
  <si>
    <t>tagjai részéről is kedvező volt , mivel határozott</t>
  </si>
  <si>
    <t>szerepét . Ugyanakkor érdeklődéssel várták a kipróbáltan</t>
  </si>
  <si>
    <t>Werth utódjának főhadiszállási fogadtatását , amire</t>
  </si>
  <si>
    <t>szociális-egészségvédelmi odafordulásban a századelő</t>
  </si>
  <si>
    <t>és gyermekcentrikus pedagógiai-pszichológiai felfogásának</t>
  </si>
  <si>
    <t>támadt Jugoszlávia és Németország között . Belgrádban a</t>
  </si>
  <si>
    <t>kormányt elsöpörte a népharag , ezért várható volt</t>
  </si>
  <si>
    <t>kormányában . Hatásukra anyám is mutatott bizonyos</t>
  </si>
  <si>
    <t>hajlandóságot , ez persze épp elég volt ahhoz , hogy</t>
  </si>
  <si>
    <t>intézkedésre . Ezzel is elkéstünk . A mindenre kapható</t>
  </si>
  <si>
    <t>katonai vezetők élén természetesen régi ellenfelem</t>
  </si>
  <si>
    <t>titkokat mesélt el nekem Spiró László , amiket én</t>
  </si>
  <si>
    <t>barátaimnak adtam tovább . ( Közben többször is adnak</t>
  </si>
  <si>
    <t>leány anyja milyen sorsra jutott ; az egyik fivére</t>
  </si>
  <si>
    <t>volt , és a második világháború után Felső-Adigébe</t>
  </si>
  <si>
    <t>zsidó állam és az Egyesült Államok között” . [ 20 ] A</t>
  </si>
  <si>
    <t>palesztinbarát</t>
  </si>
  <si>
    <t>európaiak dühösek amiatt , hogy Sharon ellen irányuló</t>
  </si>
  <si>
    <t>már megjelent az önkormányzati intézményekben is .</t>
  </si>
  <si>
    <t>Gyermekbarát</t>
  </si>
  <si>
    <t>gondolataiknak , gyakorlatuknak elterjedését azonban</t>
  </si>
  <si>
    <t>tisztelő zsidóság számára a shittuf fogalmához némi</t>
  </si>
  <si>
    <t>kereszténybarát</t>
  </si>
  <si>
    <t>íz is társul . Zsidó szemmel nézve a kereszténység</t>
  </si>
  <si>
    <t>amikor ezek a pazar díszítésű kötések készültek , sok</t>
  </si>
  <si>
    <t>köttette kedvenceit jóval egyszerűbb , technikailag</t>
  </si>
  <si>
    <t>alapelveket tekintjük át , majd a számításokat már</t>
  </si>
  <si>
    <t>felhasználóbarát</t>
  </si>
  <si>
    <t>programcsomagokra bízzuk . Ráadásul ez a fejezet</t>
  </si>
  <si>
    <t>pasztilla dipeptid-észter típusú ( szerintem viszonylag</t>
  </si>
  <si>
    <t>biobarát</t>
  </si>
  <si>
    <t>) Nutria Sweet mesterséges édesítőszert . ( Kifizetődő</t>
  </si>
  <si>
    <t>játszotta anyám . A követségen rendezett koncertekre a</t>
  </si>
  <si>
    <t>Vilmos császár is eljött , aki maga is komponált</t>
  </si>
  <si>
    <t>Németh Mária , az Arató bölcsőde vezetője olvasta fel</t>
  </si>
  <si>
    <t>„Családbarát</t>
  </si>
  <si>
    <t>szolgáltatás a bölcsődében” címmel beadott pályázatát</t>
  </si>
  <si>
    <t>intézmény vezetője kapta az egyesülettől . 1 % 1 % 1 % A</t>
  </si>
  <si>
    <t>Jövőbarát</t>
  </si>
  <si>
    <t>Alapítvány köszönetet mond mindazoknak , akik 2006</t>
  </si>
  <si>
    <t>a hirdetésekre , szerintem még mindig a hibátlan ,</t>
  </si>
  <si>
    <t>ügyfélbarát</t>
  </si>
  <si>
    <t>szolgáltatás a legjobb reklám . Még nincs döntés</t>
  </si>
  <si>
    <t>canis familiarisnak ) neveztessék . Csakhogy nem a</t>
  </si>
  <si>
    <t>vagy a kutyákat nem szerető ember ízlése dönti el</t>
  </si>
  <si>
    <t>Államokban rosszallással figyelik a Gyurcsány-kormány</t>
  </si>
  <si>
    <t>politikáját , ami többek között abban jelentkezik</t>
  </si>
  <si>
    <t>, hogy Magyarországon ki a nagyobb nyugat- , vagy</t>
  </si>
  <si>
    <t>Oroszország-barát</t>
  </si>
  <si>
    <t>. Kifejtette : szükséges és fontos az orosz energia</t>
  </si>
  <si>
    <t>hadsereg vezető szerepe jellemzi ; ezen a téren a korábbi</t>
  </si>
  <si>
    <t>tekintélyuralmi rendszert 1965-ben megbuktató katonai</t>
  </si>
  <si>
    <t>mikrobák hatékonysága , hanem a folyamat egyértelműen</t>
  </si>
  <si>
    <t>jellege miatt . A magasabb rendű élőlények , egészen</t>
  </si>
  <si>
    <t>lakásbútor szinte alig szerepelt rajta ) és nem éppen</t>
  </si>
  <si>
    <t>nézőbarát</t>
  </si>
  <si>
    <t>jellegét ( tárgyak helyett zömmel fényképek fogadták</t>
  </si>
  <si>
    <t>miatt az észak-magyarországi vármegyék állottak a</t>
  </si>
  <si>
    <t>mozgalom élén . A kezdeményezést is egy földrajzilag</t>
  </si>
  <si>
    <t>összesen 33 vármegye támogatta Bars közgyűlésének</t>
  </si>
  <si>
    <t>felhívását Gróf Vay Ábrahám administrátor nyíltan</t>
  </si>
  <si>
    <t>bécsi udvar természetesen szembefordult a vármegyék</t>
  </si>
  <si>
    <t>mozgalmával , amely keresztezte terveit A magyarországi</t>
  </si>
  <si>
    <t>amely keresztezte terveit A magyarországi vármegyék</t>
  </si>
  <si>
    <t>kiállásáról egy korabeli erdélyi írás is megemlékezik</t>
  </si>
  <si>
    <t>visszacsengett az a gondolat , hogy a magyar ellenzék</t>
  </si>
  <si>
    <t>véleményének bele kellene épülnie a Habsburg Birodalom</t>
  </si>
  <si>
    <t>is nemzetközi . 84 Az 1831 tavasza óta felerősödő</t>
  </si>
  <si>
    <t>hangok és események rendjén Wesselényi szélesebb</t>
  </si>
  <si>
    <t>becses adatokat tartalmaznak a kolozsvári diákság</t>
  </si>
  <si>
    <t>hangulatáról . A kolozsvári unitárius kollégiumi</t>
  </si>
  <si>
    <t>kastélyokban megőrizték Zemplén vármegye ellenzéki ,</t>
  </si>
  <si>
    <t>állásfoglalásának szövegét , amelyet a párizsi Journal</t>
  </si>
  <si>
    <t>mellett cseh , morva , szlovák és magyar segítségre . A</t>
  </si>
  <si>
    <t>csehek és magyarok segítségét Galícián keresztül</t>
  </si>
  <si>
    <t>, diritto . Milano : Giuffrè , 1974 , 111 . 130 A</t>
  </si>
  <si>
    <t>( ’proximus’ ) a keresztény tanításban az , aki mellettem</t>
  </si>
  <si>
    <t>egy lángelme egyúttal jó szervező , vezető és odaadó</t>
  </si>
  <si>
    <t>) . Vajon létrejöhet-e despotikus parancsra szabad</t>
  </si>
  <si>
    <t>kontinens egyik fő közlekedési folyosójává váljon . A</t>
  </si>
  <si>
    <t>közlekedési alternatíva fejlesztéséhez azonban csak</t>
  </si>
  <si>
    <t>orher abstract 2</t>
  </si>
  <si>
    <t>ÚTKOM Gépipari Kereskedelmi és Szolgáltató Kft . 9081</t>
  </si>
  <si>
    <t>Győrújbarát</t>
  </si>
  <si>
    <t>, István út 70 / 1 / b . részéről . A nettó beszerzési</t>
  </si>
  <si>
    <t>fölfelé . A borosüveg címkéjén kacskaringós betűk :</t>
  </si>
  <si>
    <t>. Készen állok . Minden itt van . Bármi lehet . VÉGE</t>
  </si>
  <si>
    <t>Bokros-csomagnál egyébként összességükben enyhébb és kevésbé</t>
  </si>
  <si>
    <t>növekedésbarát</t>
  </si>
  <si>
    <t>megszorító intézkedést léptetett életbe . Ezek következtében</t>
  </si>
  <si>
    <t>hangulatára . Valamennyien határozottabbakká váltak a</t>
  </si>
  <si>
    <t>jugoszlávbarát</t>
  </si>
  <si>
    <t>elemekkel kapcsolatban , szilárdabbak az ingadozó</t>
  </si>
  <si>
    <t>fn</t>
  </si>
  <si>
    <t>mn</t>
  </si>
  <si>
    <t>cím</t>
  </si>
  <si>
    <t>mn:</t>
  </si>
  <si>
    <t>fn:</t>
  </si>
  <si>
    <t>cím:</t>
  </si>
  <si>
    <t>1900 előtti mn:</t>
  </si>
  <si>
    <t>1900 előtti fn:</t>
  </si>
  <si>
    <t>1900 előtti cím:</t>
  </si>
  <si>
    <t>főnév/melléknév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</si>
</sst>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1"/>
      <color rgb="FF0000FF"/>
      <name val="Trebuchet MS"/>
      <family val="2"/>
      <charset val="238"/>
    </font>
    <font>
      <sz val="11"/>
      <color rgb="FF000000"/>
      <name val="Trebuchet MS"/>
      <family val="2"/>
      <charset val="238"/>
    </font>
    <font>
      <sz val="11"/>
      <color rgb="FFFF0000"/>
      <name val="Trebuchet MS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1"/>
      <name val="Trebuchet MS"/>
      <family val="2"/>
      <charset val="238"/>
    </font>
    <font>
      <sz val="11"/>
      <color rgb="FF999999"/>
      <name val="Trebuchet MS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8" fillId="0" borderId="0" xfId="2" applyBorder="1"/>
    <xf numFmtId="0" fontId="0" fillId="0" borderId="1" xfId="0" quotePrefix="1" applyBorder="1"/>
    <xf numFmtId="164" fontId="0" fillId="0" borderId="0" xfId="1" applyNumberFormat="1" applyFont="1" applyBorder="1"/>
    <xf numFmtId="0" fontId="0" fillId="0" borderId="0" xfId="0" applyAlignment="1">
      <alignment horizontal="left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8" fillId="0" borderId="0" xfId="2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 wrapText="1"/>
    </xf>
    <xf numFmtId="0" fontId="8" fillId="0" borderId="0" xfId="2" applyFill="1" applyBorder="1" applyAlignment="1">
      <alignment horizontal="left" vertical="center" wrapText="1"/>
    </xf>
    <xf numFmtId="9" fontId="0" fillId="0" borderId="0" xfId="1" applyFont="1"/>
  </cellXfs>
  <cellStyles count="3">
    <cellStyle name="Hivatkozás" xfId="2" builtinId="8"/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8544-28F0-48B9-A02B-7BD8A21CF1CD}">
  <dimension ref="A1:S363"/>
  <sheetViews>
    <sheetView tabSelected="1" topLeftCell="A16" workbookViewId="0">
      <selection activeCell="M64" sqref="M64"/>
    </sheetView>
  </sheetViews>
  <sheetFormatPr defaultRowHeight="14.4" x14ac:dyDescent="0.3"/>
  <cols>
    <col min="1" max="1" width="11.88671875" style="17" customWidth="1"/>
    <col min="2" max="2" width="65.21875" bestFit="1" customWidth="1"/>
    <col min="3" max="3" width="18.21875" bestFit="1" customWidth="1"/>
    <col min="4" max="4" width="64.88671875" bestFit="1" customWidth="1"/>
    <col min="5" max="5" width="11.88671875" style="21" bestFit="1" customWidth="1"/>
    <col min="6" max="6" width="18.21875" bestFit="1" customWidth="1"/>
    <col min="7" max="7" width="18.21875" customWidth="1"/>
    <col min="8" max="8" width="15.88671875" style="22" bestFit="1" customWidth="1"/>
    <col min="9" max="9" width="27.77734375" style="17" bestFit="1" customWidth="1"/>
    <col min="10" max="10" width="26.44140625" style="17" bestFit="1" customWidth="1"/>
    <col min="11" max="11" width="18.6640625" customWidth="1"/>
    <col min="12" max="12" width="28.33203125" bestFit="1" customWidth="1"/>
    <col min="13" max="13" width="10.109375" bestFit="1" customWidth="1"/>
    <col min="17" max="17" width="27" bestFit="1" customWidth="1"/>
    <col min="19" max="19" width="12.44140625" bestFit="1" customWidth="1"/>
  </cols>
  <sheetData>
    <row r="1" spans="1:15" ht="34.200000000000003" customHeight="1" x14ac:dyDescent="0.3">
      <c r="A1" s="1" t="s">
        <v>0</v>
      </c>
      <c r="B1" s="2"/>
      <c r="C1" s="2"/>
      <c r="D1" s="2"/>
      <c r="E1" s="3"/>
      <c r="F1" s="2"/>
      <c r="G1" s="2"/>
      <c r="H1" s="4"/>
      <c r="I1" s="5"/>
      <c r="J1" s="5"/>
    </row>
    <row r="2" spans="1:15" ht="16.2" customHeight="1" x14ac:dyDescent="0.45">
      <c r="A2" s="6"/>
      <c r="B2" s="2"/>
      <c r="C2" s="2"/>
      <c r="D2" s="2"/>
      <c r="E2" s="3"/>
      <c r="F2" s="2"/>
      <c r="G2" s="2"/>
      <c r="H2" s="4"/>
      <c r="I2" s="5"/>
      <c r="J2" s="5"/>
    </row>
    <row r="3" spans="1:15" s="9" customFormat="1" ht="28.8" customHeight="1" x14ac:dyDescent="0.3">
      <c r="A3" s="7" t="s">
        <v>1</v>
      </c>
      <c r="B3" s="7" t="s">
        <v>2</v>
      </c>
      <c r="C3" s="7" t="s">
        <v>3</v>
      </c>
      <c r="D3" s="7" t="s">
        <v>2</v>
      </c>
      <c r="E3" s="8" t="s">
        <v>4</v>
      </c>
      <c r="F3" s="7" t="s">
        <v>5</v>
      </c>
      <c r="G3" s="7" t="s">
        <v>906</v>
      </c>
      <c r="H3" s="7" t="s">
        <v>6</v>
      </c>
      <c r="I3" s="7" t="s">
        <v>7</v>
      </c>
      <c r="J3" s="7" t="s">
        <v>8</v>
      </c>
      <c r="L3" s="9" t="s">
        <v>9</v>
      </c>
      <c r="M3" s="9" t="s">
        <v>10</v>
      </c>
      <c r="N3" s="9" t="s">
        <v>11</v>
      </c>
    </row>
    <row r="4" spans="1:15" x14ac:dyDescent="0.3">
      <c r="A4" s="10">
        <v>1790</v>
      </c>
      <c r="B4" s="11" t="s">
        <v>12</v>
      </c>
      <c r="C4" s="12" t="s">
        <v>13</v>
      </c>
      <c r="D4" s="13" t="s">
        <v>14</v>
      </c>
      <c r="E4" s="3" t="s">
        <v>15</v>
      </c>
      <c r="F4" s="2" t="s">
        <v>16</v>
      </c>
      <c r="G4" s="2"/>
      <c r="H4" s="4"/>
      <c r="I4" s="5"/>
      <c r="J4" s="5"/>
      <c r="N4" s="14"/>
      <c r="O4" s="14"/>
    </row>
    <row r="5" spans="1:15" x14ac:dyDescent="0.3">
      <c r="A5" s="10">
        <v>1791</v>
      </c>
      <c r="B5" s="11" t="s">
        <v>17</v>
      </c>
      <c r="C5" s="12" t="s">
        <v>18</v>
      </c>
      <c r="D5" s="13" t="s">
        <v>19</v>
      </c>
      <c r="E5" s="3" t="s">
        <v>15</v>
      </c>
      <c r="F5" s="2" t="s">
        <v>20</v>
      </c>
      <c r="G5" s="2"/>
      <c r="H5" s="4"/>
      <c r="I5" s="5"/>
      <c r="J5" s="5"/>
      <c r="L5" t="s">
        <v>21</v>
      </c>
      <c r="M5">
        <f>COUNTA(E4:E359)</f>
        <v>356</v>
      </c>
    </row>
    <row r="6" spans="1:15" x14ac:dyDescent="0.3">
      <c r="A6" s="10">
        <v>1791</v>
      </c>
      <c r="B6" s="11" t="s">
        <v>22</v>
      </c>
      <c r="C6" s="12" t="s">
        <v>23</v>
      </c>
      <c r="D6" s="13" t="s">
        <v>24</v>
      </c>
      <c r="E6" s="3" t="s">
        <v>15</v>
      </c>
      <c r="F6" s="2" t="s">
        <v>20</v>
      </c>
      <c r="G6" s="2"/>
      <c r="H6" s="4"/>
      <c r="I6" s="5"/>
      <c r="J6" s="5"/>
      <c r="N6" s="14"/>
    </row>
    <row r="7" spans="1:15" x14ac:dyDescent="0.3">
      <c r="A7" s="10">
        <v>1802</v>
      </c>
      <c r="B7" s="11" t="s">
        <v>25</v>
      </c>
      <c r="C7" s="12" t="s">
        <v>26</v>
      </c>
      <c r="D7" s="13" t="s">
        <v>27</v>
      </c>
      <c r="E7" s="3" t="s">
        <v>15</v>
      </c>
      <c r="F7" s="15" t="s">
        <v>28</v>
      </c>
      <c r="G7" s="15"/>
      <c r="H7" s="4"/>
      <c r="I7" s="5"/>
      <c r="J7" s="5"/>
    </row>
    <row r="8" spans="1:15" x14ac:dyDescent="0.3">
      <c r="A8" s="10">
        <v>1802</v>
      </c>
      <c r="B8" s="11" t="s">
        <v>29</v>
      </c>
      <c r="C8" s="12" t="s">
        <v>30</v>
      </c>
      <c r="D8" s="13" t="s">
        <v>31</v>
      </c>
      <c r="E8" s="3" t="s">
        <v>15</v>
      </c>
      <c r="F8" s="15" t="s">
        <v>28</v>
      </c>
      <c r="G8" s="15"/>
      <c r="H8" s="4"/>
      <c r="I8" s="5"/>
      <c r="J8" s="5"/>
      <c r="L8" t="s">
        <v>32</v>
      </c>
      <c r="M8">
        <f>COUNTIF(E:E,"jó")</f>
        <v>201</v>
      </c>
      <c r="N8" s="16">
        <f>M8/M5</f>
        <v>0.5646067415730337</v>
      </c>
    </row>
    <row r="9" spans="1:15" x14ac:dyDescent="0.3">
      <c r="A9" s="10">
        <v>1802</v>
      </c>
      <c r="B9" s="11" t="s">
        <v>33</v>
      </c>
      <c r="C9" s="12" t="s">
        <v>34</v>
      </c>
      <c r="D9" s="13" t="s">
        <v>35</v>
      </c>
      <c r="E9" s="3" t="s">
        <v>15</v>
      </c>
      <c r="F9" s="2" t="s">
        <v>20</v>
      </c>
      <c r="G9" s="2"/>
      <c r="H9" s="4"/>
      <c r="I9" s="5"/>
      <c r="J9" s="5"/>
      <c r="L9" t="s">
        <v>36</v>
      </c>
      <c r="M9">
        <f>COUNTIF(E:E,"rossz")</f>
        <v>155</v>
      </c>
      <c r="N9" s="16">
        <f>M9/M5</f>
        <v>0.4353932584269663</v>
      </c>
    </row>
    <row r="10" spans="1:15" x14ac:dyDescent="0.3">
      <c r="A10" s="10">
        <v>1803</v>
      </c>
      <c r="B10" s="11" t="s">
        <v>37</v>
      </c>
      <c r="C10" s="12" t="s">
        <v>38</v>
      </c>
      <c r="D10" s="13" t="s">
        <v>39</v>
      </c>
      <c r="E10" s="3" t="s">
        <v>15</v>
      </c>
      <c r="F10" s="2" t="s">
        <v>28</v>
      </c>
      <c r="G10" s="2"/>
      <c r="H10" s="4"/>
      <c r="I10" s="5"/>
      <c r="J10" s="5"/>
    </row>
    <row r="11" spans="1:15" x14ac:dyDescent="0.3">
      <c r="A11" s="10">
        <v>1806</v>
      </c>
      <c r="B11" s="11" t="s">
        <v>40</v>
      </c>
      <c r="C11" s="12" t="s">
        <v>41</v>
      </c>
      <c r="D11" s="13" t="s">
        <v>42</v>
      </c>
      <c r="E11" s="3" t="s">
        <v>15</v>
      </c>
      <c r="F11" s="2" t="s">
        <v>20</v>
      </c>
      <c r="G11" s="2"/>
      <c r="H11" s="4"/>
      <c r="I11" s="5"/>
      <c r="J11" s="5"/>
    </row>
    <row r="12" spans="1:15" x14ac:dyDescent="0.3">
      <c r="A12" s="10" t="s">
        <v>43</v>
      </c>
      <c r="B12" s="11" t="s">
        <v>44</v>
      </c>
      <c r="C12" s="12" t="s">
        <v>45</v>
      </c>
      <c r="D12" s="13" t="s">
        <v>46</v>
      </c>
      <c r="E12" s="3" t="s">
        <v>15</v>
      </c>
      <c r="F12" s="2" t="s">
        <v>28</v>
      </c>
      <c r="G12" s="2"/>
      <c r="H12" s="4"/>
      <c r="I12" s="5"/>
      <c r="J12" s="5"/>
    </row>
    <row r="13" spans="1:15" x14ac:dyDescent="0.3">
      <c r="A13" s="10">
        <v>1821</v>
      </c>
      <c r="B13" s="11" t="s">
        <v>47</v>
      </c>
      <c r="C13" s="12" t="s">
        <v>48</v>
      </c>
      <c r="D13" s="13" t="s">
        <v>49</v>
      </c>
      <c r="E13" s="3" t="s">
        <v>50</v>
      </c>
      <c r="F13" s="2"/>
      <c r="G13" s="2" t="s">
        <v>897</v>
      </c>
      <c r="H13" s="4">
        <v>1</v>
      </c>
      <c r="I13" s="5" t="s">
        <v>51</v>
      </c>
      <c r="J13" s="5" t="s">
        <v>51</v>
      </c>
      <c r="L13" t="s">
        <v>52</v>
      </c>
      <c r="M13">
        <f>COUNTIF(F:F,"eltérő jelentés")</f>
        <v>23</v>
      </c>
      <c r="N13" s="16">
        <f>M13/M9</f>
        <v>0.14838709677419354</v>
      </c>
    </row>
    <row r="14" spans="1:15" x14ac:dyDescent="0.3">
      <c r="A14" s="10">
        <v>1821</v>
      </c>
      <c r="B14" s="11" t="s">
        <v>53</v>
      </c>
      <c r="C14" s="12" t="s">
        <v>54</v>
      </c>
      <c r="D14" s="13" t="s">
        <v>55</v>
      </c>
      <c r="E14" s="3" t="s">
        <v>15</v>
      </c>
      <c r="F14" s="2" t="s">
        <v>16</v>
      </c>
      <c r="G14" s="2"/>
      <c r="H14" s="4"/>
      <c r="I14" s="5"/>
      <c r="J14" s="5"/>
      <c r="L14" t="s">
        <v>56</v>
      </c>
      <c r="M14">
        <f>COUNTIF(F:F,"tárgyragos alak")</f>
        <v>19</v>
      </c>
      <c r="N14" s="16">
        <f>M14/M9</f>
        <v>0.12258064516129032</v>
      </c>
    </row>
    <row r="15" spans="1:15" x14ac:dyDescent="0.3">
      <c r="A15" s="10" t="s">
        <v>57</v>
      </c>
      <c r="B15" s="11" t="s">
        <v>58</v>
      </c>
      <c r="C15" s="12" t="s">
        <v>59</v>
      </c>
      <c r="D15" s="13" t="s">
        <v>60</v>
      </c>
      <c r="E15" s="3" t="s">
        <v>15</v>
      </c>
      <c r="F15" s="2" t="s">
        <v>20</v>
      </c>
      <c r="G15" s="2"/>
      <c r="H15" s="4"/>
      <c r="I15" s="5"/>
      <c r="J15" s="5"/>
      <c r="L15" t="s">
        <v>61</v>
      </c>
      <c r="M15">
        <f>COUNTIF(F:F,"főnévi alaptag/utótag")</f>
        <v>112</v>
      </c>
      <c r="N15" s="16">
        <f>M15/M9</f>
        <v>0.72258064516129028</v>
      </c>
    </row>
    <row r="16" spans="1:15" x14ac:dyDescent="0.3">
      <c r="A16" s="10">
        <v>1825</v>
      </c>
      <c r="B16" s="11" t="s">
        <v>62</v>
      </c>
      <c r="C16" s="12" t="s">
        <v>63</v>
      </c>
      <c r="D16" s="13" t="s">
        <v>64</v>
      </c>
      <c r="E16" s="3" t="s">
        <v>15</v>
      </c>
      <c r="F16" s="2" t="s">
        <v>65</v>
      </c>
      <c r="G16" s="2"/>
      <c r="H16" s="4"/>
      <c r="I16" s="5"/>
      <c r="J16" s="5"/>
      <c r="L16" t="s">
        <v>66</v>
      </c>
      <c r="M16">
        <f>COUNTIF(F:F,"értelmezhetetlen")</f>
        <v>1</v>
      </c>
      <c r="N16" s="16">
        <f>M16/M9</f>
        <v>6.4516129032258064E-3</v>
      </c>
    </row>
    <row r="17" spans="1:14" x14ac:dyDescent="0.3">
      <c r="A17" s="10">
        <v>1832</v>
      </c>
      <c r="B17" s="11" t="s">
        <v>67</v>
      </c>
      <c r="C17" s="12" t="s">
        <v>68</v>
      </c>
      <c r="D17" s="13" t="s">
        <v>69</v>
      </c>
      <c r="E17" s="3" t="s">
        <v>50</v>
      </c>
      <c r="F17" s="2"/>
      <c r="G17" s="2" t="s">
        <v>897</v>
      </c>
      <c r="H17" s="4">
        <v>1</v>
      </c>
      <c r="I17" s="5" t="s">
        <v>51</v>
      </c>
      <c r="J17" s="5" t="s">
        <v>51</v>
      </c>
    </row>
    <row r="18" spans="1:14" x14ac:dyDescent="0.3">
      <c r="A18" s="10">
        <v>1832</v>
      </c>
      <c r="B18" s="11" t="s">
        <v>70</v>
      </c>
      <c r="C18" s="12" t="s">
        <v>71</v>
      </c>
      <c r="D18" s="13" t="s">
        <v>72</v>
      </c>
      <c r="E18" s="3" t="s">
        <v>15</v>
      </c>
      <c r="F18" s="2" t="s">
        <v>28</v>
      </c>
      <c r="G18" s="2"/>
      <c r="H18" s="4"/>
      <c r="I18" s="5"/>
      <c r="J18" s="5"/>
    </row>
    <row r="19" spans="1:14" x14ac:dyDescent="0.3">
      <c r="A19" s="10">
        <v>1833</v>
      </c>
      <c r="B19" s="11" t="s">
        <v>73</v>
      </c>
      <c r="C19" s="12" t="s">
        <v>68</v>
      </c>
      <c r="D19" s="13" t="s">
        <v>74</v>
      </c>
      <c r="E19" s="3" t="s">
        <v>50</v>
      </c>
      <c r="F19" s="2"/>
      <c r="G19" s="2" t="s">
        <v>897</v>
      </c>
      <c r="H19" s="4">
        <v>1</v>
      </c>
      <c r="I19" s="5" t="s">
        <v>51</v>
      </c>
      <c r="J19" s="5" t="s">
        <v>51</v>
      </c>
    </row>
    <row r="20" spans="1:14" x14ac:dyDescent="0.3">
      <c r="A20" s="10">
        <v>1834</v>
      </c>
      <c r="B20" s="11" t="s">
        <v>75</v>
      </c>
      <c r="C20" s="12" t="s">
        <v>68</v>
      </c>
      <c r="D20" s="13" t="s">
        <v>76</v>
      </c>
      <c r="E20" s="3" t="s">
        <v>50</v>
      </c>
      <c r="F20" s="2"/>
      <c r="G20" s="2" t="s">
        <v>897</v>
      </c>
      <c r="H20" s="4">
        <v>1</v>
      </c>
      <c r="I20" s="5" t="s">
        <v>51</v>
      </c>
      <c r="J20" s="5" t="s">
        <v>51</v>
      </c>
      <c r="L20" s="17">
        <v>1</v>
      </c>
      <c r="M20">
        <f>COUNTIF(H:H,1)</f>
        <v>66</v>
      </c>
      <c r="N20" s="16">
        <f>M20/M8</f>
        <v>0.32835820895522388</v>
      </c>
    </row>
    <row r="21" spans="1:14" x14ac:dyDescent="0.3">
      <c r="A21" s="10">
        <v>1836</v>
      </c>
      <c r="B21" s="11" t="s">
        <v>77</v>
      </c>
      <c r="C21" s="12" t="s">
        <v>45</v>
      </c>
      <c r="D21" s="13" t="s">
        <v>78</v>
      </c>
      <c r="E21" s="3" t="s">
        <v>15</v>
      </c>
      <c r="F21" s="2" t="s">
        <v>28</v>
      </c>
      <c r="G21" s="2"/>
      <c r="H21" s="4"/>
      <c r="I21" s="5"/>
      <c r="J21" s="5"/>
      <c r="L21" s="17">
        <v>2</v>
      </c>
      <c r="M21">
        <f>COUNTIF(H:H,2)</f>
        <v>4</v>
      </c>
      <c r="N21" s="16">
        <f>M21/M8</f>
        <v>1.9900497512437811E-2</v>
      </c>
    </row>
    <row r="22" spans="1:14" x14ac:dyDescent="0.3">
      <c r="A22" s="10">
        <v>1836</v>
      </c>
      <c r="B22" s="11" t="s">
        <v>79</v>
      </c>
      <c r="C22" s="12" t="s">
        <v>45</v>
      </c>
      <c r="D22" s="13" t="s">
        <v>80</v>
      </c>
      <c r="E22" s="3" t="s">
        <v>15</v>
      </c>
      <c r="F22" s="2" t="s">
        <v>28</v>
      </c>
      <c r="G22" s="2"/>
      <c r="H22" s="4"/>
      <c r="I22" s="5"/>
      <c r="J22" s="5"/>
      <c r="L22" s="17">
        <v>3</v>
      </c>
      <c r="M22">
        <f>COUNTIF(H:H,3)</f>
        <v>131</v>
      </c>
      <c r="N22" s="16">
        <f>M22/M8</f>
        <v>0.65174129353233834</v>
      </c>
    </row>
    <row r="23" spans="1:14" x14ac:dyDescent="0.3">
      <c r="A23" s="10">
        <v>1836</v>
      </c>
      <c r="B23" s="11" t="s">
        <v>81</v>
      </c>
      <c r="C23" s="12" t="s">
        <v>82</v>
      </c>
      <c r="D23" s="13" t="s">
        <v>83</v>
      </c>
      <c r="E23" s="3" t="s">
        <v>15</v>
      </c>
      <c r="F23" s="2" t="s">
        <v>28</v>
      </c>
      <c r="G23" s="2"/>
      <c r="H23" s="4"/>
      <c r="I23" s="5"/>
      <c r="J23" s="5"/>
    </row>
    <row r="24" spans="1:14" x14ac:dyDescent="0.3">
      <c r="A24" s="10">
        <v>1837</v>
      </c>
      <c r="B24" s="11" t="s">
        <v>84</v>
      </c>
      <c r="C24" s="12" t="s">
        <v>85</v>
      </c>
      <c r="D24" s="13" t="s">
        <v>86</v>
      </c>
      <c r="E24" s="3" t="s">
        <v>50</v>
      </c>
      <c r="F24" s="2"/>
      <c r="G24" s="2" t="s">
        <v>898</v>
      </c>
      <c r="H24" s="4">
        <v>1</v>
      </c>
      <c r="I24" s="5" t="s">
        <v>87</v>
      </c>
      <c r="J24" s="5" t="s">
        <v>51</v>
      </c>
    </row>
    <row r="25" spans="1:14" x14ac:dyDescent="0.3">
      <c r="A25" s="10">
        <v>1837</v>
      </c>
      <c r="B25" s="11" t="s">
        <v>88</v>
      </c>
      <c r="C25" s="12" t="s">
        <v>85</v>
      </c>
      <c r="D25" s="13" t="s">
        <v>89</v>
      </c>
      <c r="E25" s="3" t="s">
        <v>50</v>
      </c>
      <c r="F25" s="2"/>
      <c r="G25" s="2" t="s">
        <v>897</v>
      </c>
      <c r="H25" s="4">
        <v>1</v>
      </c>
      <c r="I25" s="5" t="s">
        <v>87</v>
      </c>
      <c r="J25" s="5" t="s">
        <v>51</v>
      </c>
    </row>
    <row r="26" spans="1:14" x14ac:dyDescent="0.3">
      <c r="A26" s="10">
        <v>1838</v>
      </c>
      <c r="B26" s="11" t="s">
        <v>90</v>
      </c>
      <c r="C26" s="12" t="s">
        <v>68</v>
      </c>
      <c r="D26" s="13" t="s">
        <v>91</v>
      </c>
      <c r="E26" s="3" t="s">
        <v>50</v>
      </c>
      <c r="F26" s="2"/>
      <c r="G26" s="2" t="s">
        <v>897</v>
      </c>
      <c r="H26" s="4">
        <v>1</v>
      </c>
      <c r="I26" s="5" t="s">
        <v>51</v>
      </c>
      <c r="J26" s="5" t="s">
        <v>51</v>
      </c>
      <c r="L26" t="s">
        <v>92</v>
      </c>
      <c r="M26">
        <f>COUNTA(C4:C84)</f>
        <v>81</v>
      </c>
    </row>
    <row r="27" spans="1:14" x14ac:dyDescent="0.3">
      <c r="A27" s="10">
        <v>1838</v>
      </c>
      <c r="B27" s="11" t="s">
        <v>93</v>
      </c>
      <c r="C27" s="12" t="s">
        <v>94</v>
      </c>
      <c r="D27" s="13" t="s">
        <v>95</v>
      </c>
      <c r="E27" s="3" t="s">
        <v>15</v>
      </c>
      <c r="F27" s="2" t="s">
        <v>28</v>
      </c>
      <c r="G27" s="2"/>
      <c r="H27" s="4"/>
      <c r="I27" s="5"/>
      <c r="J27" s="5"/>
      <c r="L27" t="s">
        <v>32</v>
      </c>
      <c r="M27">
        <f>COUNTIF(E4:E84,"jó")</f>
        <v>33</v>
      </c>
      <c r="N27" s="16">
        <f>M27/M26</f>
        <v>0.40740740740740738</v>
      </c>
    </row>
    <row r="28" spans="1:14" x14ac:dyDescent="0.3">
      <c r="A28" s="10">
        <v>1841</v>
      </c>
      <c r="B28" s="11" t="s">
        <v>96</v>
      </c>
      <c r="C28" s="12" t="s">
        <v>97</v>
      </c>
      <c r="D28" s="13" t="s">
        <v>98</v>
      </c>
      <c r="E28" s="3" t="s">
        <v>50</v>
      </c>
      <c r="F28" s="2"/>
      <c r="G28" s="2" t="s">
        <v>897</v>
      </c>
      <c r="H28" s="4">
        <v>3</v>
      </c>
      <c r="I28" s="5" t="s">
        <v>99</v>
      </c>
      <c r="J28" s="5" t="s">
        <v>51</v>
      </c>
      <c r="L28" t="s">
        <v>36</v>
      </c>
      <c r="M28">
        <f>COUNTIF(E4:E84,"rossz")</f>
        <v>48</v>
      </c>
      <c r="N28" s="16">
        <f>M28/M26</f>
        <v>0.59259259259259256</v>
      </c>
    </row>
    <row r="29" spans="1:14" x14ac:dyDescent="0.3">
      <c r="A29" s="10">
        <v>1841</v>
      </c>
      <c r="B29" s="11" t="s">
        <v>100</v>
      </c>
      <c r="C29" s="12" t="s">
        <v>97</v>
      </c>
      <c r="D29" s="13" t="s">
        <v>101</v>
      </c>
      <c r="E29" s="3" t="s">
        <v>50</v>
      </c>
      <c r="F29" s="2"/>
      <c r="G29" s="2" t="s">
        <v>897</v>
      </c>
      <c r="H29" s="4">
        <v>3</v>
      </c>
      <c r="I29" s="5" t="s">
        <v>99</v>
      </c>
      <c r="J29" s="5" t="s">
        <v>51</v>
      </c>
    </row>
    <row r="30" spans="1:14" x14ac:dyDescent="0.3">
      <c r="A30" s="10">
        <v>1841</v>
      </c>
      <c r="B30" s="11" t="s">
        <v>102</v>
      </c>
      <c r="C30" s="12" t="s">
        <v>103</v>
      </c>
      <c r="D30" s="13" t="s">
        <v>104</v>
      </c>
      <c r="E30" s="3" t="s">
        <v>50</v>
      </c>
      <c r="F30" s="2"/>
      <c r="G30" s="2" t="s">
        <v>897</v>
      </c>
      <c r="H30" s="4">
        <v>3</v>
      </c>
      <c r="I30" s="5" t="s">
        <v>99</v>
      </c>
      <c r="J30" s="5" t="s">
        <v>51</v>
      </c>
    </row>
    <row r="31" spans="1:14" x14ac:dyDescent="0.3">
      <c r="A31" s="10">
        <v>1841</v>
      </c>
      <c r="B31" s="11" t="s">
        <v>105</v>
      </c>
      <c r="C31" s="12" t="s">
        <v>103</v>
      </c>
      <c r="D31" s="13" t="s">
        <v>106</v>
      </c>
      <c r="E31" s="3" t="s">
        <v>50</v>
      </c>
      <c r="F31" s="2"/>
      <c r="G31" s="2" t="s">
        <v>897</v>
      </c>
      <c r="H31" s="4">
        <v>3</v>
      </c>
      <c r="I31" s="5" t="s">
        <v>99</v>
      </c>
      <c r="J31" s="5" t="s">
        <v>51</v>
      </c>
    </row>
    <row r="32" spans="1:14" x14ac:dyDescent="0.3">
      <c r="A32" s="10" t="s">
        <v>107</v>
      </c>
      <c r="B32" s="11" t="s">
        <v>108</v>
      </c>
      <c r="C32" s="12" t="s">
        <v>109</v>
      </c>
      <c r="D32" s="13" t="s">
        <v>110</v>
      </c>
      <c r="E32" s="3" t="s">
        <v>50</v>
      </c>
      <c r="F32" s="2"/>
      <c r="G32" s="2" t="s">
        <v>897</v>
      </c>
      <c r="H32" s="4">
        <v>3</v>
      </c>
      <c r="I32" s="5" t="s">
        <v>111</v>
      </c>
      <c r="J32" s="5" t="s">
        <v>51</v>
      </c>
    </row>
    <row r="33" spans="1:19" x14ac:dyDescent="0.3">
      <c r="A33" s="10">
        <v>1843</v>
      </c>
      <c r="B33" s="11" t="s">
        <v>112</v>
      </c>
      <c r="C33" s="12" t="s">
        <v>26</v>
      </c>
      <c r="D33" s="13" t="s">
        <v>113</v>
      </c>
      <c r="E33" s="3" t="s">
        <v>15</v>
      </c>
      <c r="F33" s="15" t="s">
        <v>28</v>
      </c>
      <c r="G33" s="15"/>
      <c r="H33" s="4"/>
      <c r="I33" s="5"/>
      <c r="J33" s="5"/>
    </row>
    <row r="34" spans="1:19" x14ac:dyDescent="0.3">
      <c r="A34" s="10">
        <v>1843</v>
      </c>
      <c r="B34" s="11" t="s">
        <v>114</v>
      </c>
      <c r="C34" s="12" t="s">
        <v>115</v>
      </c>
      <c r="D34" s="13" t="s">
        <v>116</v>
      </c>
      <c r="E34" s="3" t="s">
        <v>15</v>
      </c>
      <c r="F34" s="15" t="s">
        <v>28</v>
      </c>
      <c r="G34" s="15"/>
      <c r="H34" s="4"/>
      <c r="I34" s="5"/>
      <c r="J34" s="5"/>
    </row>
    <row r="35" spans="1:19" x14ac:dyDescent="0.3">
      <c r="A35" s="10">
        <v>1843</v>
      </c>
      <c r="B35" s="11" t="s">
        <v>117</v>
      </c>
      <c r="C35" s="12" t="s">
        <v>68</v>
      </c>
      <c r="D35" s="13" t="s">
        <v>118</v>
      </c>
      <c r="E35" s="3" t="s">
        <v>50</v>
      </c>
      <c r="F35" s="2"/>
      <c r="G35" s="2" t="s">
        <v>897</v>
      </c>
      <c r="H35" s="4">
        <v>1</v>
      </c>
      <c r="I35" s="5" t="s">
        <v>51</v>
      </c>
      <c r="J35" s="5" t="s">
        <v>51</v>
      </c>
      <c r="L35" t="s">
        <v>119</v>
      </c>
      <c r="Q35" t="s">
        <v>120</v>
      </c>
    </row>
    <row r="36" spans="1:19" x14ac:dyDescent="0.3">
      <c r="A36" s="10">
        <v>1844</v>
      </c>
      <c r="B36" s="11" t="s">
        <v>121</v>
      </c>
      <c r="C36" s="12" t="s">
        <v>103</v>
      </c>
      <c r="D36" s="13" t="s">
        <v>122</v>
      </c>
      <c r="E36" s="3" t="s">
        <v>50</v>
      </c>
      <c r="F36" s="2"/>
      <c r="G36" s="2" t="s">
        <v>897</v>
      </c>
      <c r="H36" s="4">
        <v>3</v>
      </c>
      <c r="I36" s="5" t="s">
        <v>99</v>
      </c>
      <c r="J36" s="5" t="s">
        <v>51</v>
      </c>
    </row>
    <row r="37" spans="1:19" x14ac:dyDescent="0.3">
      <c r="A37" s="10">
        <v>1844</v>
      </c>
      <c r="B37" s="11" t="s">
        <v>123</v>
      </c>
      <c r="C37" s="12" t="s">
        <v>26</v>
      </c>
      <c r="D37" s="13" t="s">
        <v>124</v>
      </c>
      <c r="E37" s="3" t="s">
        <v>15</v>
      </c>
      <c r="F37" s="2" t="s">
        <v>28</v>
      </c>
      <c r="G37" s="2"/>
      <c r="H37" s="4"/>
      <c r="I37" s="5"/>
      <c r="J37" s="5"/>
      <c r="L37" t="s">
        <v>125</v>
      </c>
      <c r="M37">
        <f>COUNTIF(I:I,"human")</f>
        <v>40</v>
      </c>
      <c r="N37" s="16">
        <f>M37/M8</f>
        <v>0.19900497512437812</v>
      </c>
      <c r="Q37" t="s">
        <v>125</v>
      </c>
      <c r="R37">
        <f>COUNTIF(J:J,"human")</f>
        <v>134</v>
      </c>
      <c r="S37" s="16">
        <f>R37/M8</f>
        <v>0.66666666666666663</v>
      </c>
    </row>
    <row r="38" spans="1:19" x14ac:dyDescent="0.3">
      <c r="A38" s="10">
        <v>1844</v>
      </c>
      <c r="B38" s="11" t="s">
        <v>126</v>
      </c>
      <c r="C38" s="12" t="s">
        <v>26</v>
      </c>
      <c r="D38" s="13" t="s">
        <v>127</v>
      </c>
      <c r="E38" s="3" t="s">
        <v>15</v>
      </c>
      <c r="F38" s="2" t="s">
        <v>28</v>
      </c>
      <c r="G38" s="2"/>
      <c r="H38" s="4"/>
      <c r="I38" s="5"/>
      <c r="J38" s="5"/>
      <c r="L38" t="s">
        <v>128</v>
      </c>
      <c r="M38">
        <f>COUNTIF(I:I,"animal")</f>
        <v>8</v>
      </c>
      <c r="N38" s="16">
        <f>M38/M8</f>
        <v>3.9800995024875621E-2</v>
      </c>
      <c r="Q38" t="s">
        <v>128</v>
      </c>
      <c r="R38">
        <f>COUNTIF(J:J,"animal")</f>
        <v>0</v>
      </c>
      <c r="S38" s="16">
        <f>R38/M8</f>
        <v>0</v>
      </c>
    </row>
    <row r="39" spans="1:19" x14ac:dyDescent="0.3">
      <c r="A39" s="10">
        <v>1845</v>
      </c>
      <c r="B39" s="11" t="s">
        <v>129</v>
      </c>
      <c r="C39" s="12" t="s">
        <v>130</v>
      </c>
      <c r="D39" s="13" t="s">
        <v>131</v>
      </c>
      <c r="E39" s="3" t="s">
        <v>50</v>
      </c>
      <c r="F39" s="2"/>
      <c r="G39" s="2" t="s">
        <v>897</v>
      </c>
      <c r="H39" s="4">
        <v>3</v>
      </c>
      <c r="I39" s="5" t="s">
        <v>132</v>
      </c>
      <c r="J39" s="5" t="s">
        <v>51</v>
      </c>
      <c r="L39" t="s">
        <v>133</v>
      </c>
      <c r="M39">
        <f>COUNTIF(I:I,"natural o/p")</f>
        <v>9</v>
      </c>
      <c r="N39" s="16">
        <f>M39/M8</f>
        <v>4.4776119402985072E-2</v>
      </c>
      <c r="Q39" t="s">
        <v>133</v>
      </c>
      <c r="R39">
        <f>COUNTIF(J:J,"natural o/p")</f>
        <v>2</v>
      </c>
      <c r="S39" s="16">
        <f>R39/M8</f>
        <v>9.9502487562189053E-3</v>
      </c>
    </row>
    <row r="40" spans="1:19" x14ac:dyDescent="0.3">
      <c r="A40" s="10">
        <v>1845</v>
      </c>
      <c r="B40" s="11" t="s">
        <v>134</v>
      </c>
      <c r="C40" s="12" t="s">
        <v>34</v>
      </c>
      <c r="D40" s="13" t="s">
        <v>135</v>
      </c>
      <c r="E40" s="3" t="s">
        <v>15</v>
      </c>
      <c r="F40" s="2" t="s">
        <v>20</v>
      </c>
      <c r="G40" s="2"/>
      <c r="H40" s="4"/>
      <c r="I40" s="5"/>
      <c r="J40" s="5"/>
      <c r="L40" t="s">
        <v>136</v>
      </c>
      <c r="M40">
        <f>COUNTIF(I:I,"artefact")</f>
        <v>6</v>
      </c>
      <c r="N40" s="16">
        <f>M40/M8</f>
        <v>2.9850746268656716E-2</v>
      </c>
      <c r="Q40" t="s">
        <v>136</v>
      </c>
      <c r="R40">
        <f>COUNTIF(J:J,"artefact")</f>
        <v>3</v>
      </c>
      <c r="S40" s="16">
        <f>R40/M8</f>
        <v>1.4925373134328358E-2</v>
      </c>
    </row>
    <row r="41" spans="1:19" x14ac:dyDescent="0.3">
      <c r="A41" s="10">
        <v>1845</v>
      </c>
      <c r="B41" s="11" t="s">
        <v>137</v>
      </c>
      <c r="C41" s="12" t="s">
        <v>138</v>
      </c>
      <c r="D41" s="13" t="s">
        <v>139</v>
      </c>
      <c r="E41" s="3" t="s">
        <v>15</v>
      </c>
      <c r="F41" s="2" t="s">
        <v>28</v>
      </c>
      <c r="G41" s="2"/>
      <c r="H41" s="4"/>
      <c r="I41" s="5"/>
      <c r="J41" s="5"/>
      <c r="L41" t="s">
        <v>140</v>
      </c>
      <c r="M41">
        <f>COUNTIF(I:I,"cultural o/p")</f>
        <v>28</v>
      </c>
      <c r="N41" s="16">
        <f>M41/M8</f>
        <v>0.13930348258706468</v>
      </c>
      <c r="Q41" t="s">
        <v>140</v>
      </c>
      <c r="R41">
        <f>COUNTIF(J:J,"cultural o/p")</f>
        <v>7</v>
      </c>
      <c r="S41" s="16">
        <f>R41/M8</f>
        <v>3.482587064676617E-2</v>
      </c>
    </row>
    <row r="42" spans="1:19" x14ac:dyDescent="0.3">
      <c r="A42" s="10">
        <v>1845</v>
      </c>
      <c r="B42" s="11" t="s">
        <v>141</v>
      </c>
      <c r="C42" s="12" t="s">
        <v>94</v>
      </c>
      <c r="D42" s="13" t="s">
        <v>142</v>
      </c>
      <c r="E42" s="3" t="s">
        <v>15</v>
      </c>
      <c r="F42" s="2" t="s">
        <v>28</v>
      </c>
      <c r="G42" s="2"/>
      <c r="H42" s="4"/>
      <c r="I42" s="5"/>
      <c r="J42" s="5"/>
      <c r="L42" t="s">
        <v>143</v>
      </c>
      <c r="M42">
        <f>COUNTIF(I:I,"institution-like social structures")</f>
        <v>19</v>
      </c>
      <c r="N42" s="16">
        <f>M42/M8</f>
        <v>9.4527363184079602E-2</v>
      </c>
      <c r="Q42" t="s">
        <v>143</v>
      </c>
      <c r="R42">
        <f>COUNTIF(J:J,"institution-like social structures")</f>
        <v>13</v>
      </c>
      <c r="S42" s="16">
        <f>R42/M8</f>
        <v>6.4676616915422883E-2</v>
      </c>
    </row>
    <row r="43" spans="1:19" x14ac:dyDescent="0.3">
      <c r="A43" s="10">
        <v>1846</v>
      </c>
      <c r="B43" s="11" t="s">
        <v>144</v>
      </c>
      <c r="C43" s="12" t="s">
        <v>45</v>
      </c>
      <c r="D43" s="13" t="s">
        <v>145</v>
      </c>
      <c r="E43" s="3" t="s">
        <v>15</v>
      </c>
      <c r="F43" s="2" t="s">
        <v>28</v>
      </c>
      <c r="G43" s="2"/>
      <c r="H43" s="4"/>
      <c r="I43" s="5"/>
      <c r="J43" s="5"/>
      <c r="L43" t="s">
        <v>146</v>
      </c>
      <c r="M43">
        <f>COUNTIF(I:I,"event")</f>
        <v>1</v>
      </c>
      <c r="N43" s="16">
        <f>M43/M8</f>
        <v>4.9751243781094526E-3</v>
      </c>
      <c r="Q43" t="s">
        <v>146</v>
      </c>
      <c r="R43">
        <f>COUNTIF(J:J,"event")</f>
        <v>0</v>
      </c>
      <c r="S43" s="16">
        <f>R43/M8</f>
        <v>0</v>
      </c>
    </row>
    <row r="44" spans="1:19" x14ac:dyDescent="0.3">
      <c r="A44" s="10">
        <v>1846</v>
      </c>
      <c r="B44" s="11" t="s">
        <v>147</v>
      </c>
      <c r="C44" s="12" t="s">
        <v>26</v>
      </c>
      <c r="D44" s="13" t="s">
        <v>148</v>
      </c>
      <c r="E44" s="3" t="s">
        <v>15</v>
      </c>
      <c r="F44" s="2" t="s">
        <v>28</v>
      </c>
      <c r="G44" s="2"/>
      <c r="H44" s="4"/>
      <c r="I44" s="5"/>
      <c r="J44" s="5"/>
      <c r="L44" t="s">
        <v>149</v>
      </c>
      <c r="M44">
        <f>COUNTIF(I:I,"other abstract 1")</f>
        <v>4</v>
      </c>
      <c r="N44" s="16">
        <f>M44/M8</f>
        <v>1.9900497512437811E-2</v>
      </c>
      <c r="Q44" t="s">
        <v>149</v>
      </c>
      <c r="R44">
        <f>COUNTIF(J:J,"other abstract 1")</f>
        <v>7</v>
      </c>
      <c r="S44" s="16">
        <f>R44/M8</f>
        <v>3.482587064676617E-2</v>
      </c>
    </row>
    <row r="45" spans="1:19" x14ac:dyDescent="0.3">
      <c r="A45" s="10">
        <v>1846</v>
      </c>
      <c r="B45" s="11" t="s">
        <v>150</v>
      </c>
      <c r="C45" s="12" t="s">
        <v>26</v>
      </c>
      <c r="D45" s="13" t="s">
        <v>151</v>
      </c>
      <c r="E45" s="3" t="s">
        <v>15</v>
      </c>
      <c r="F45" s="2" t="s">
        <v>28</v>
      </c>
      <c r="G45" s="2"/>
      <c r="H45" s="4"/>
      <c r="I45" s="5"/>
      <c r="J45" s="5"/>
      <c r="L45" t="s">
        <v>152</v>
      </c>
      <c r="M45">
        <f>COUNTIF(I:I,"other abstract 2")</f>
        <v>7</v>
      </c>
      <c r="N45" s="16">
        <f>M45/M8</f>
        <v>3.482587064676617E-2</v>
      </c>
      <c r="Q45" t="s">
        <v>152</v>
      </c>
      <c r="R45">
        <f>COUNTIF(J:J,"other abstract 2")</f>
        <v>26</v>
      </c>
      <c r="S45" s="16">
        <f>R45/M8</f>
        <v>0.12935323383084577</v>
      </c>
    </row>
    <row r="46" spans="1:19" x14ac:dyDescent="0.3">
      <c r="A46" s="10">
        <v>1847</v>
      </c>
      <c r="B46" s="11" t="s">
        <v>153</v>
      </c>
      <c r="C46" s="12" t="s">
        <v>45</v>
      </c>
      <c r="D46" s="13" t="s">
        <v>154</v>
      </c>
      <c r="E46" s="3" t="s">
        <v>15</v>
      </c>
      <c r="F46" s="2" t="s">
        <v>28</v>
      </c>
      <c r="G46" s="2"/>
      <c r="H46" s="4"/>
      <c r="I46" s="5"/>
      <c r="J46" s="5"/>
      <c r="L46" t="s">
        <v>155</v>
      </c>
      <c r="M46">
        <f>COUNTIF(I:I,"state")</f>
        <v>69</v>
      </c>
      <c r="N46" s="16">
        <f>M46/M8</f>
        <v>0.34328358208955223</v>
      </c>
      <c r="Q46" t="s">
        <v>155</v>
      </c>
      <c r="R46">
        <f>COUNTIF(J:J,"state")</f>
        <v>1</v>
      </c>
      <c r="S46" s="16">
        <f>R46/M8</f>
        <v>4.9751243781094526E-3</v>
      </c>
    </row>
    <row r="47" spans="1:19" x14ac:dyDescent="0.3">
      <c r="A47" s="10">
        <v>1847</v>
      </c>
      <c r="B47" s="11" t="s">
        <v>156</v>
      </c>
      <c r="C47" s="12" t="s">
        <v>138</v>
      </c>
      <c r="D47" s="13" t="s">
        <v>157</v>
      </c>
      <c r="E47" s="3" t="s">
        <v>15</v>
      </c>
      <c r="F47" s="2" t="s">
        <v>28</v>
      </c>
      <c r="G47" s="2"/>
      <c r="H47" s="4"/>
      <c r="I47" s="5"/>
      <c r="J47" s="5"/>
      <c r="L47" t="s">
        <v>158</v>
      </c>
      <c r="M47">
        <f>COUNTIF(I:I,"process")</f>
        <v>2</v>
      </c>
      <c r="N47" s="16">
        <f>M47/M8</f>
        <v>9.9502487562189053E-3</v>
      </c>
      <c r="Q47" t="s">
        <v>158</v>
      </c>
      <c r="R47">
        <f>COUNTIF(J:J,"process")</f>
        <v>2</v>
      </c>
      <c r="S47" s="16">
        <f>R47/M8</f>
        <v>9.9502487562189053E-3</v>
      </c>
    </row>
    <row r="48" spans="1:19" x14ac:dyDescent="0.3">
      <c r="A48" s="10">
        <v>1847</v>
      </c>
      <c r="B48" s="11" t="s">
        <v>159</v>
      </c>
      <c r="C48" s="12" t="s">
        <v>26</v>
      </c>
      <c r="D48" s="13" t="s">
        <v>160</v>
      </c>
      <c r="E48" s="3" t="s">
        <v>15</v>
      </c>
      <c r="F48" s="2" t="s">
        <v>28</v>
      </c>
      <c r="G48" s="2"/>
      <c r="H48" s="4"/>
      <c r="I48" s="5"/>
      <c r="J48" s="5"/>
      <c r="L48" t="s">
        <v>161</v>
      </c>
      <c r="M48">
        <f>COUNTIF(I:I,"location")</f>
        <v>8</v>
      </c>
      <c r="N48" s="16">
        <f>M48/M8</f>
        <v>3.9800995024875621E-2</v>
      </c>
      <c r="Q48" t="s">
        <v>161</v>
      </c>
      <c r="R48">
        <f>COUNTIF(J:J,"location")</f>
        <v>0</v>
      </c>
      <c r="S48" s="16">
        <f>R48/M8</f>
        <v>0</v>
      </c>
    </row>
    <row r="49" spans="1:19" x14ac:dyDescent="0.3">
      <c r="A49" s="10">
        <v>1848</v>
      </c>
      <c r="B49" s="11" t="s">
        <v>162</v>
      </c>
      <c r="C49" s="12" t="s">
        <v>68</v>
      </c>
      <c r="D49" s="13" t="s">
        <v>163</v>
      </c>
      <c r="E49" s="3" t="s">
        <v>50</v>
      </c>
      <c r="F49" s="2"/>
      <c r="G49" s="2" t="s">
        <v>897</v>
      </c>
      <c r="H49" s="4">
        <v>1</v>
      </c>
      <c r="I49" s="5" t="s">
        <v>51</v>
      </c>
      <c r="J49" s="5" t="s">
        <v>51</v>
      </c>
      <c r="L49" t="s">
        <v>164</v>
      </c>
      <c r="M49">
        <f>COUNTIF(I:I,"ability")</f>
        <v>0</v>
      </c>
      <c r="N49" s="16">
        <f>M49/M8</f>
        <v>0</v>
      </c>
      <c r="Q49" t="s">
        <v>164</v>
      </c>
      <c r="R49">
        <f>COUNTIF(J:J,"ability")</f>
        <v>0</v>
      </c>
      <c r="S49" s="16">
        <f>R49/M8</f>
        <v>0</v>
      </c>
    </row>
    <row r="50" spans="1:19" x14ac:dyDescent="0.3">
      <c r="A50" s="10">
        <v>1850</v>
      </c>
      <c r="B50" s="11" t="s">
        <v>165</v>
      </c>
      <c r="C50" s="12" t="s">
        <v>166</v>
      </c>
      <c r="D50" s="13" t="s">
        <v>167</v>
      </c>
      <c r="E50" s="3" t="s">
        <v>50</v>
      </c>
      <c r="F50" s="2"/>
      <c r="G50" s="2" t="s">
        <v>899</v>
      </c>
      <c r="H50" s="4">
        <v>1</v>
      </c>
      <c r="I50" s="5" t="s">
        <v>168</v>
      </c>
      <c r="J50" s="5" t="s">
        <v>169</v>
      </c>
      <c r="L50" t="s">
        <v>170</v>
      </c>
      <c r="M50">
        <f>COUNTIF(I:I,"shematic entities")</f>
        <v>0</v>
      </c>
      <c r="N50" s="16">
        <f>M50/M8</f>
        <v>0</v>
      </c>
      <c r="Q50" t="s">
        <v>170</v>
      </c>
      <c r="R50">
        <f>COUNTIF(J:J,"schematic entities")</f>
        <v>0</v>
      </c>
      <c r="S50" s="16">
        <f>R50/M8</f>
        <v>0</v>
      </c>
    </row>
    <row r="51" spans="1:19" x14ac:dyDescent="0.3">
      <c r="A51" s="10">
        <v>1850</v>
      </c>
      <c r="B51" s="11" t="s">
        <v>171</v>
      </c>
      <c r="C51" s="12" t="s">
        <v>172</v>
      </c>
      <c r="D51" s="13" t="s">
        <v>173</v>
      </c>
      <c r="E51" s="3" t="s">
        <v>50</v>
      </c>
      <c r="F51" s="2"/>
      <c r="G51" s="2" t="s">
        <v>897</v>
      </c>
      <c r="H51" s="4">
        <v>3</v>
      </c>
      <c r="I51" s="5" t="s">
        <v>132</v>
      </c>
      <c r="J51" s="5" t="s">
        <v>51</v>
      </c>
    </row>
    <row r="52" spans="1:19" x14ac:dyDescent="0.3">
      <c r="A52" s="10">
        <v>1850</v>
      </c>
      <c r="B52" s="11" t="s">
        <v>174</v>
      </c>
      <c r="C52" s="12" t="s">
        <v>103</v>
      </c>
      <c r="D52" s="13" t="s">
        <v>175</v>
      </c>
      <c r="E52" s="3" t="s">
        <v>50</v>
      </c>
      <c r="F52" s="2"/>
      <c r="G52" s="2" t="s">
        <v>897</v>
      </c>
      <c r="H52" s="4">
        <v>3</v>
      </c>
      <c r="I52" s="5" t="s">
        <v>99</v>
      </c>
      <c r="J52" s="5" t="s">
        <v>51</v>
      </c>
      <c r="Q52" t="s">
        <v>176</v>
      </c>
      <c r="R52">
        <f>COUNTIF(J:J,"[cím]")</f>
        <v>5</v>
      </c>
      <c r="S52" s="16">
        <f>R52/M8</f>
        <v>2.4875621890547265E-2</v>
      </c>
    </row>
    <row r="53" spans="1:19" x14ac:dyDescent="0.3">
      <c r="A53" s="10">
        <v>1854</v>
      </c>
      <c r="B53" s="11" t="s">
        <v>177</v>
      </c>
      <c r="C53" s="12" t="s">
        <v>178</v>
      </c>
      <c r="D53" s="13" t="s">
        <v>179</v>
      </c>
      <c r="E53" s="3" t="s">
        <v>50</v>
      </c>
      <c r="F53" s="2"/>
      <c r="G53" s="2" t="s">
        <v>897</v>
      </c>
      <c r="H53" s="4">
        <v>1</v>
      </c>
      <c r="I53" s="5" t="s">
        <v>180</v>
      </c>
      <c r="J53" s="5" t="s">
        <v>51</v>
      </c>
    </row>
    <row r="54" spans="1:19" x14ac:dyDescent="0.3">
      <c r="A54" s="10">
        <v>1854</v>
      </c>
      <c r="B54" s="11" t="s">
        <v>181</v>
      </c>
      <c r="C54" s="12" t="s">
        <v>182</v>
      </c>
      <c r="D54" s="13" t="s">
        <v>183</v>
      </c>
      <c r="E54" s="3" t="s">
        <v>15</v>
      </c>
      <c r="F54" s="2" t="s">
        <v>28</v>
      </c>
      <c r="G54" s="2"/>
      <c r="H54" s="4"/>
      <c r="I54" s="5"/>
      <c r="J54" s="5"/>
      <c r="L54" t="s">
        <v>900</v>
      </c>
      <c r="M54">
        <f t="shared" ref="M54:M55" si="0">COUNTIF(G:G,"mn")</f>
        <v>131</v>
      </c>
      <c r="N54" s="25">
        <f>M54/M8</f>
        <v>0.65174129353233834</v>
      </c>
    </row>
    <row r="55" spans="1:19" x14ac:dyDescent="0.3">
      <c r="A55" s="10">
        <v>1854</v>
      </c>
      <c r="B55" s="11" t="s">
        <v>184</v>
      </c>
      <c r="C55" s="12" t="s">
        <v>185</v>
      </c>
      <c r="D55" s="13" t="s">
        <v>186</v>
      </c>
      <c r="E55" s="3" t="s">
        <v>15</v>
      </c>
      <c r="F55" s="2" t="s">
        <v>16</v>
      </c>
      <c r="G55" s="2"/>
      <c r="H55" s="4"/>
      <c r="I55" s="5"/>
      <c r="J55" s="5"/>
      <c r="L55" t="s">
        <v>901</v>
      </c>
      <c r="M55">
        <f>COUNTIF(G:G,"fn")</f>
        <v>65</v>
      </c>
      <c r="N55" s="25">
        <f>M55/M8</f>
        <v>0.32338308457711445</v>
      </c>
    </row>
    <row r="56" spans="1:19" x14ac:dyDescent="0.3">
      <c r="A56" s="10">
        <v>1855</v>
      </c>
      <c r="B56" s="11" t="s">
        <v>187</v>
      </c>
      <c r="C56" s="12" t="s">
        <v>138</v>
      </c>
      <c r="D56" s="13" t="s">
        <v>188</v>
      </c>
      <c r="E56" s="3" t="s">
        <v>15</v>
      </c>
      <c r="F56" s="2" t="s">
        <v>28</v>
      </c>
      <c r="G56" s="2"/>
      <c r="H56" s="4"/>
      <c r="I56" s="5"/>
      <c r="J56" s="5"/>
    </row>
    <row r="57" spans="1:19" x14ac:dyDescent="0.3">
      <c r="A57" s="10">
        <v>1858</v>
      </c>
      <c r="B57" s="11" t="s">
        <v>189</v>
      </c>
      <c r="C57" s="12" t="s">
        <v>68</v>
      </c>
      <c r="D57" s="13" t="s">
        <v>190</v>
      </c>
      <c r="E57" s="3" t="s">
        <v>50</v>
      </c>
      <c r="F57" s="2"/>
      <c r="G57" s="2" t="s">
        <v>897</v>
      </c>
      <c r="H57" s="4">
        <v>1</v>
      </c>
      <c r="I57" s="5" t="s">
        <v>51</v>
      </c>
      <c r="J57" s="5" t="s">
        <v>51</v>
      </c>
      <c r="L57" t="s">
        <v>902</v>
      </c>
      <c r="M57">
        <f>COUNTIF(G:G,"cím")</f>
        <v>5</v>
      </c>
      <c r="N57" s="25">
        <f>M57/M8</f>
        <v>2.4875621890547265E-2</v>
      </c>
    </row>
    <row r="58" spans="1:19" x14ac:dyDescent="0.3">
      <c r="A58" s="10">
        <v>1858</v>
      </c>
      <c r="B58" s="11" t="s">
        <v>191</v>
      </c>
      <c r="C58" s="12" t="s">
        <v>68</v>
      </c>
      <c r="D58" s="13" t="s">
        <v>192</v>
      </c>
      <c r="E58" s="3" t="s">
        <v>50</v>
      </c>
      <c r="F58" s="2"/>
      <c r="G58" s="2" t="s">
        <v>897</v>
      </c>
      <c r="H58" s="4">
        <v>1</v>
      </c>
      <c r="I58" s="5" t="s">
        <v>51</v>
      </c>
      <c r="J58" s="5" t="s">
        <v>51</v>
      </c>
    </row>
    <row r="59" spans="1:19" x14ac:dyDescent="0.3">
      <c r="A59" s="10">
        <v>1859</v>
      </c>
      <c r="B59" s="11" t="s">
        <v>193</v>
      </c>
      <c r="C59" s="12" t="s">
        <v>194</v>
      </c>
      <c r="D59" s="13" t="s">
        <v>195</v>
      </c>
      <c r="E59" s="3" t="s">
        <v>15</v>
      </c>
      <c r="F59" s="2" t="s">
        <v>28</v>
      </c>
      <c r="G59" s="2"/>
      <c r="H59" s="4"/>
      <c r="I59" s="5"/>
      <c r="J59" s="5"/>
    </row>
    <row r="60" spans="1:19" x14ac:dyDescent="0.3">
      <c r="A60" s="10">
        <v>1861</v>
      </c>
      <c r="B60" s="11" t="s">
        <v>196</v>
      </c>
      <c r="C60" s="12" t="s">
        <v>26</v>
      </c>
      <c r="D60" s="13" t="s">
        <v>197</v>
      </c>
      <c r="E60" s="3" t="s">
        <v>15</v>
      </c>
      <c r="F60" s="2" t="s">
        <v>28</v>
      </c>
      <c r="G60" s="2"/>
      <c r="H60" s="4"/>
      <c r="I60" s="5"/>
      <c r="J60" s="5"/>
    </row>
    <row r="61" spans="1:19" x14ac:dyDescent="0.3">
      <c r="A61" s="10" t="s">
        <v>198</v>
      </c>
      <c r="B61" s="11" t="s">
        <v>199</v>
      </c>
      <c r="C61" s="12" t="s">
        <v>200</v>
      </c>
      <c r="D61" s="13" t="s">
        <v>201</v>
      </c>
      <c r="E61" s="3" t="s">
        <v>50</v>
      </c>
      <c r="F61" s="2"/>
      <c r="G61" s="2" t="s">
        <v>897</v>
      </c>
      <c r="H61" s="4">
        <v>3</v>
      </c>
      <c r="I61" s="5" t="s">
        <v>99</v>
      </c>
      <c r="J61" s="5" t="s">
        <v>51</v>
      </c>
      <c r="L61" t="s">
        <v>903</v>
      </c>
      <c r="M61">
        <f>COUNTIF(G4:G84,"mn")</f>
        <v>5</v>
      </c>
      <c r="N61" s="25">
        <f>M61/M27</f>
        <v>0.15151515151515152</v>
      </c>
    </row>
    <row r="62" spans="1:19" x14ac:dyDescent="0.3">
      <c r="A62" s="10">
        <v>1863</v>
      </c>
      <c r="B62" s="11" t="s">
        <v>202</v>
      </c>
      <c r="C62" s="12" t="s">
        <v>26</v>
      </c>
      <c r="D62" s="13" t="s">
        <v>203</v>
      </c>
      <c r="E62" s="3" t="s">
        <v>15</v>
      </c>
      <c r="F62" s="2" t="s">
        <v>28</v>
      </c>
      <c r="G62" s="2"/>
      <c r="H62" s="4"/>
      <c r="I62" s="5"/>
      <c r="J62" s="5"/>
      <c r="L62" t="s">
        <v>904</v>
      </c>
      <c r="M62">
        <f>COUNTIF(G4:G84,"fn")</f>
        <v>25</v>
      </c>
      <c r="N62" s="25">
        <f>M62/M27</f>
        <v>0.75757575757575757</v>
      </c>
    </row>
    <row r="63" spans="1:19" x14ac:dyDescent="0.3">
      <c r="A63" s="10">
        <v>1864</v>
      </c>
      <c r="B63" s="11" t="s">
        <v>204</v>
      </c>
      <c r="C63" s="12" t="s">
        <v>205</v>
      </c>
      <c r="D63" s="13" t="s">
        <v>206</v>
      </c>
      <c r="E63" s="3" t="s">
        <v>15</v>
      </c>
      <c r="F63" s="2" t="s">
        <v>20</v>
      </c>
      <c r="G63" s="2"/>
      <c r="H63" s="4"/>
      <c r="I63" s="5"/>
      <c r="J63" s="5"/>
    </row>
    <row r="64" spans="1:19" x14ac:dyDescent="0.3">
      <c r="A64" s="10">
        <v>1864</v>
      </c>
      <c r="B64" s="11" t="s">
        <v>207</v>
      </c>
      <c r="C64" s="12" t="s">
        <v>68</v>
      </c>
      <c r="D64" s="13" t="s">
        <v>208</v>
      </c>
      <c r="E64" s="3" t="s">
        <v>50</v>
      </c>
      <c r="F64" s="2"/>
      <c r="G64" s="2" t="s">
        <v>898</v>
      </c>
      <c r="H64" s="4">
        <v>1</v>
      </c>
      <c r="I64" s="5" t="s">
        <v>51</v>
      </c>
      <c r="J64" s="5" t="s">
        <v>51</v>
      </c>
      <c r="L64" t="s">
        <v>905</v>
      </c>
      <c r="M64">
        <f>COUNTIF(G4:G84,"cím")</f>
        <v>3</v>
      </c>
      <c r="N64" s="25">
        <f>M64/M27</f>
        <v>9.0909090909090912E-2</v>
      </c>
    </row>
    <row r="65" spans="1:10" x14ac:dyDescent="0.3">
      <c r="A65" s="10" t="s">
        <v>209</v>
      </c>
      <c r="B65" s="11" t="s">
        <v>210</v>
      </c>
      <c r="C65" s="12" t="s">
        <v>138</v>
      </c>
      <c r="D65" s="13" t="s">
        <v>211</v>
      </c>
      <c r="E65" s="3" t="s">
        <v>15</v>
      </c>
      <c r="F65" s="2" t="s">
        <v>28</v>
      </c>
      <c r="G65" s="2"/>
      <c r="H65" s="4"/>
      <c r="I65" s="5"/>
      <c r="J65" s="5"/>
    </row>
    <row r="66" spans="1:10" x14ac:dyDescent="0.3">
      <c r="A66" s="10" t="s">
        <v>212</v>
      </c>
      <c r="B66" s="11" t="s">
        <v>213</v>
      </c>
      <c r="C66" s="12" t="s">
        <v>26</v>
      </c>
      <c r="D66" s="13" t="s">
        <v>214</v>
      </c>
      <c r="E66" s="3" t="s">
        <v>15</v>
      </c>
      <c r="F66" s="2" t="s">
        <v>28</v>
      </c>
      <c r="G66" s="2"/>
      <c r="H66" s="4"/>
      <c r="I66" s="5"/>
      <c r="J66" s="5"/>
    </row>
    <row r="67" spans="1:10" x14ac:dyDescent="0.3">
      <c r="A67" s="10" t="s">
        <v>212</v>
      </c>
      <c r="B67" s="11" t="s">
        <v>215</v>
      </c>
      <c r="C67" s="12" t="s">
        <v>216</v>
      </c>
      <c r="D67" s="13" t="s">
        <v>217</v>
      </c>
      <c r="E67" s="3" t="s">
        <v>15</v>
      </c>
      <c r="F67" s="2" t="s">
        <v>28</v>
      </c>
      <c r="G67" s="2"/>
      <c r="H67" s="4"/>
      <c r="I67" s="5"/>
      <c r="J67" s="5"/>
    </row>
    <row r="68" spans="1:10" x14ac:dyDescent="0.3">
      <c r="A68" s="10" t="s">
        <v>212</v>
      </c>
      <c r="B68" s="11" t="s">
        <v>218</v>
      </c>
      <c r="C68" s="12" t="s">
        <v>68</v>
      </c>
      <c r="D68" s="13" t="s">
        <v>219</v>
      </c>
      <c r="E68" s="3" t="s">
        <v>50</v>
      </c>
      <c r="F68" s="2"/>
      <c r="G68" s="2" t="s">
        <v>897</v>
      </c>
      <c r="H68" s="4">
        <v>1</v>
      </c>
      <c r="I68" s="5" t="s">
        <v>51</v>
      </c>
      <c r="J68" s="5" t="s">
        <v>51</v>
      </c>
    </row>
    <row r="69" spans="1:10" x14ac:dyDescent="0.3">
      <c r="A69" s="10">
        <v>1870</v>
      </c>
      <c r="B69" s="11" t="s">
        <v>220</v>
      </c>
      <c r="C69" s="12" t="s">
        <v>138</v>
      </c>
      <c r="D69" s="13" t="s">
        <v>221</v>
      </c>
      <c r="E69" s="3" t="s">
        <v>15</v>
      </c>
      <c r="F69" s="2" t="s">
        <v>28</v>
      </c>
      <c r="G69" s="2"/>
      <c r="H69" s="4"/>
      <c r="I69" s="5"/>
      <c r="J69" s="5"/>
    </row>
    <row r="70" spans="1:10" x14ac:dyDescent="0.3">
      <c r="A70" s="10">
        <v>1872</v>
      </c>
      <c r="B70" s="11" t="s">
        <v>222</v>
      </c>
      <c r="C70" s="12" t="s">
        <v>26</v>
      </c>
      <c r="D70" s="13" t="s">
        <v>223</v>
      </c>
      <c r="E70" s="3" t="s">
        <v>15</v>
      </c>
      <c r="F70" s="2" t="s">
        <v>28</v>
      </c>
      <c r="G70" s="2"/>
      <c r="H70" s="4"/>
      <c r="I70" s="5"/>
      <c r="J70" s="5"/>
    </row>
    <row r="71" spans="1:10" x14ac:dyDescent="0.3">
      <c r="A71" s="10" t="s">
        <v>224</v>
      </c>
      <c r="B71" s="11" t="s">
        <v>225</v>
      </c>
      <c r="C71" s="12" t="s">
        <v>138</v>
      </c>
      <c r="D71" s="13" t="s">
        <v>226</v>
      </c>
      <c r="E71" s="3" t="s">
        <v>15</v>
      </c>
      <c r="F71" s="2" t="s">
        <v>28</v>
      </c>
      <c r="G71" s="2"/>
      <c r="H71" s="4"/>
      <c r="I71" s="5"/>
      <c r="J71" s="5"/>
    </row>
    <row r="72" spans="1:10" x14ac:dyDescent="0.3">
      <c r="A72" s="10">
        <v>1877</v>
      </c>
      <c r="B72" s="11" t="s">
        <v>227</v>
      </c>
      <c r="C72" s="12" t="s">
        <v>228</v>
      </c>
      <c r="D72" s="13" t="s">
        <v>229</v>
      </c>
      <c r="E72" s="3" t="s">
        <v>50</v>
      </c>
      <c r="F72" s="2"/>
      <c r="G72" s="2" t="s">
        <v>898</v>
      </c>
      <c r="H72" s="4">
        <v>3</v>
      </c>
      <c r="I72" s="5" t="s">
        <v>132</v>
      </c>
      <c r="J72" s="5" t="s">
        <v>230</v>
      </c>
    </row>
    <row r="73" spans="1:10" x14ac:dyDescent="0.3">
      <c r="A73" s="10">
        <v>1877</v>
      </c>
      <c r="B73" s="11" t="s">
        <v>231</v>
      </c>
      <c r="C73" s="12" t="s">
        <v>232</v>
      </c>
      <c r="D73" s="13" t="s">
        <v>233</v>
      </c>
      <c r="E73" s="3" t="s">
        <v>15</v>
      </c>
      <c r="F73" s="2" t="s">
        <v>20</v>
      </c>
      <c r="G73" s="2"/>
      <c r="H73" s="4"/>
      <c r="I73" s="5"/>
      <c r="J73" s="5"/>
    </row>
    <row r="74" spans="1:10" x14ac:dyDescent="0.3">
      <c r="A74" s="10">
        <v>1881</v>
      </c>
      <c r="B74" s="11" t="s">
        <v>234</v>
      </c>
      <c r="C74" s="12" t="s">
        <v>235</v>
      </c>
      <c r="D74" s="13" t="s">
        <v>236</v>
      </c>
      <c r="E74" s="3" t="s">
        <v>50</v>
      </c>
      <c r="F74" s="2"/>
      <c r="G74" s="2" t="s">
        <v>899</v>
      </c>
      <c r="H74" s="4">
        <v>3</v>
      </c>
      <c r="I74" s="5" t="s">
        <v>111</v>
      </c>
      <c r="J74" s="5" t="s">
        <v>169</v>
      </c>
    </row>
    <row r="75" spans="1:10" x14ac:dyDescent="0.3">
      <c r="A75" s="10">
        <v>1881</v>
      </c>
      <c r="B75" s="11" t="s">
        <v>237</v>
      </c>
      <c r="C75" s="12" t="s">
        <v>94</v>
      </c>
      <c r="D75" s="13" t="s">
        <v>238</v>
      </c>
      <c r="E75" s="3" t="s">
        <v>15</v>
      </c>
      <c r="F75" s="2" t="s">
        <v>28</v>
      </c>
      <c r="G75" s="2"/>
      <c r="H75" s="4"/>
      <c r="I75" s="5"/>
      <c r="J75" s="5"/>
    </row>
    <row r="76" spans="1:10" x14ac:dyDescent="0.3">
      <c r="A76" s="10">
        <v>1882</v>
      </c>
      <c r="B76" s="11" t="s">
        <v>239</v>
      </c>
      <c r="C76" s="12" t="s">
        <v>240</v>
      </c>
      <c r="D76" s="13" t="s">
        <v>241</v>
      </c>
      <c r="E76" s="3" t="s">
        <v>15</v>
      </c>
      <c r="F76" s="2" t="s">
        <v>16</v>
      </c>
      <c r="G76" s="2"/>
      <c r="H76" s="4"/>
      <c r="I76" s="5"/>
      <c r="J76" s="5"/>
    </row>
    <row r="77" spans="1:10" x14ac:dyDescent="0.3">
      <c r="A77" s="10">
        <v>1882</v>
      </c>
      <c r="B77" s="11" t="s">
        <v>242</v>
      </c>
      <c r="C77" s="12" t="s">
        <v>68</v>
      </c>
      <c r="D77" s="13" t="s">
        <v>243</v>
      </c>
      <c r="E77" s="3" t="s">
        <v>50</v>
      </c>
      <c r="F77" s="2"/>
      <c r="G77" s="2" t="s">
        <v>897</v>
      </c>
      <c r="H77" s="4">
        <v>1</v>
      </c>
      <c r="I77" s="5" t="s">
        <v>51</v>
      </c>
      <c r="J77" s="5" t="s">
        <v>51</v>
      </c>
    </row>
    <row r="78" spans="1:10" x14ac:dyDescent="0.3">
      <c r="A78" s="10">
        <v>1882</v>
      </c>
      <c r="B78" s="11" t="s">
        <v>244</v>
      </c>
      <c r="C78" s="12" t="s">
        <v>68</v>
      </c>
      <c r="D78" s="13" t="s">
        <v>245</v>
      </c>
      <c r="E78" s="3" t="s">
        <v>50</v>
      </c>
      <c r="F78" s="2"/>
      <c r="G78" s="2" t="s">
        <v>898</v>
      </c>
      <c r="H78" s="4">
        <v>1</v>
      </c>
      <c r="I78" s="5" t="s">
        <v>51</v>
      </c>
      <c r="J78" s="5" t="s">
        <v>51</v>
      </c>
    </row>
    <row r="79" spans="1:10" x14ac:dyDescent="0.3">
      <c r="A79" s="10">
        <v>1889</v>
      </c>
      <c r="B79" s="11" t="s">
        <v>246</v>
      </c>
      <c r="C79" s="12" t="s">
        <v>115</v>
      </c>
      <c r="D79" s="13" t="s">
        <v>247</v>
      </c>
      <c r="E79" s="3" t="s">
        <v>15</v>
      </c>
      <c r="F79" s="2" t="s">
        <v>28</v>
      </c>
      <c r="G79" s="2"/>
      <c r="H79" s="4"/>
      <c r="I79" s="5"/>
      <c r="J79" s="5"/>
    </row>
    <row r="80" spans="1:10" x14ac:dyDescent="0.3">
      <c r="A80" s="10">
        <v>1889</v>
      </c>
      <c r="B80" s="11" t="s">
        <v>248</v>
      </c>
      <c r="C80" s="12" t="s">
        <v>26</v>
      </c>
      <c r="D80" s="13" t="s">
        <v>249</v>
      </c>
      <c r="E80" s="3" t="s">
        <v>15</v>
      </c>
      <c r="F80" s="2" t="s">
        <v>28</v>
      </c>
      <c r="G80" s="2"/>
      <c r="H80" s="4"/>
      <c r="I80" s="5"/>
      <c r="J80" s="5"/>
    </row>
    <row r="81" spans="1:10" x14ac:dyDescent="0.3">
      <c r="A81" s="10" t="s">
        <v>250</v>
      </c>
      <c r="B81" s="11" t="s">
        <v>251</v>
      </c>
      <c r="C81" s="12" t="s">
        <v>103</v>
      </c>
      <c r="D81" s="13" t="s">
        <v>252</v>
      </c>
      <c r="E81" s="3" t="s">
        <v>50</v>
      </c>
      <c r="F81" s="2"/>
      <c r="G81" s="2" t="s">
        <v>897</v>
      </c>
      <c r="H81" s="4">
        <v>3</v>
      </c>
      <c r="I81" s="5" t="s">
        <v>99</v>
      </c>
      <c r="J81" s="5" t="s">
        <v>51</v>
      </c>
    </row>
    <row r="82" spans="1:10" x14ac:dyDescent="0.3">
      <c r="A82" s="10">
        <v>1891</v>
      </c>
      <c r="B82" s="11" t="s">
        <v>253</v>
      </c>
      <c r="C82" s="12" t="s">
        <v>254</v>
      </c>
      <c r="D82" s="13" t="s">
        <v>255</v>
      </c>
      <c r="E82" s="3" t="s">
        <v>50</v>
      </c>
      <c r="F82" s="2"/>
      <c r="G82" s="2" t="s">
        <v>899</v>
      </c>
      <c r="H82" s="4">
        <v>3</v>
      </c>
      <c r="I82" s="5" t="s">
        <v>256</v>
      </c>
      <c r="J82" s="5" t="s">
        <v>169</v>
      </c>
    </row>
    <row r="83" spans="1:10" x14ac:dyDescent="0.3">
      <c r="A83" s="10">
        <v>1893</v>
      </c>
      <c r="B83" s="11" t="s">
        <v>257</v>
      </c>
      <c r="C83" s="12" t="s">
        <v>258</v>
      </c>
      <c r="D83" s="13" t="s">
        <v>259</v>
      </c>
      <c r="E83" s="3" t="s">
        <v>50</v>
      </c>
      <c r="F83" s="2"/>
      <c r="G83" s="2" t="s">
        <v>898</v>
      </c>
      <c r="H83" s="4">
        <v>1</v>
      </c>
      <c r="I83" s="5" t="s">
        <v>51</v>
      </c>
      <c r="J83" s="5" t="s">
        <v>51</v>
      </c>
    </row>
    <row r="84" spans="1:10" x14ac:dyDescent="0.3">
      <c r="A84" s="10">
        <v>1897</v>
      </c>
      <c r="B84" s="11" t="s">
        <v>260</v>
      </c>
      <c r="C84" s="12" t="s">
        <v>68</v>
      </c>
      <c r="D84" s="13" t="s">
        <v>261</v>
      </c>
      <c r="E84" s="3" t="s">
        <v>50</v>
      </c>
      <c r="F84" s="2"/>
      <c r="G84" s="2" t="s">
        <v>897</v>
      </c>
      <c r="H84" s="4">
        <v>1</v>
      </c>
      <c r="I84" s="5" t="s">
        <v>51</v>
      </c>
      <c r="J84" s="5" t="s">
        <v>51</v>
      </c>
    </row>
    <row r="85" spans="1:10" x14ac:dyDescent="0.3">
      <c r="A85" s="10">
        <v>1900</v>
      </c>
      <c r="B85" s="11" t="s">
        <v>262</v>
      </c>
      <c r="C85" s="12" t="s">
        <v>109</v>
      </c>
      <c r="D85" s="13" t="s">
        <v>263</v>
      </c>
      <c r="E85" s="3" t="s">
        <v>50</v>
      </c>
      <c r="F85" s="2"/>
      <c r="G85" s="2" t="s">
        <v>898</v>
      </c>
      <c r="H85" s="4">
        <v>3</v>
      </c>
      <c r="I85" s="5" t="s">
        <v>111</v>
      </c>
      <c r="J85" s="5" t="s">
        <v>51</v>
      </c>
    </row>
    <row r="86" spans="1:10" x14ac:dyDescent="0.3">
      <c r="A86" s="10">
        <v>1902</v>
      </c>
      <c r="B86" s="11" t="s">
        <v>264</v>
      </c>
      <c r="C86" s="12" t="s">
        <v>265</v>
      </c>
      <c r="D86" s="13" t="s">
        <v>266</v>
      </c>
      <c r="E86" s="3" t="s">
        <v>15</v>
      </c>
      <c r="F86" s="2" t="s">
        <v>16</v>
      </c>
      <c r="G86" s="2"/>
      <c r="H86" s="4"/>
      <c r="I86" s="5"/>
      <c r="J86" s="5"/>
    </row>
    <row r="87" spans="1:10" x14ac:dyDescent="0.3">
      <c r="A87" s="10">
        <v>1902</v>
      </c>
      <c r="B87" s="11" t="s">
        <v>267</v>
      </c>
      <c r="C87" s="12" t="s">
        <v>265</v>
      </c>
      <c r="D87" s="13" t="s">
        <v>268</v>
      </c>
      <c r="E87" s="3" t="s">
        <v>15</v>
      </c>
      <c r="F87" s="2" t="s">
        <v>16</v>
      </c>
      <c r="G87" s="2"/>
      <c r="H87" s="4"/>
      <c r="I87" s="5"/>
      <c r="J87" s="5"/>
    </row>
    <row r="88" spans="1:10" x14ac:dyDescent="0.3">
      <c r="A88" s="10">
        <v>1902</v>
      </c>
      <c r="B88" s="11" t="s">
        <v>269</v>
      </c>
      <c r="C88" s="12" t="s">
        <v>265</v>
      </c>
      <c r="D88" s="13" t="s">
        <v>270</v>
      </c>
      <c r="E88" s="3" t="s">
        <v>15</v>
      </c>
      <c r="F88" s="2" t="s">
        <v>16</v>
      </c>
      <c r="G88" s="2"/>
      <c r="H88" s="4"/>
      <c r="I88" s="5"/>
      <c r="J88" s="5"/>
    </row>
    <row r="89" spans="1:10" x14ac:dyDescent="0.3">
      <c r="A89" s="10">
        <v>1902</v>
      </c>
      <c r="B89" s="11" t="s">
        <v>271</v>
      </c>
      <c r="C89" s="12" t="s">
        <v>265</v>
      </c>
      <c r="D89" s="13" t="s">
        <v>272</v>
      </c>
      <c r="E89" s="3" t="s">
        <v>15</v>
      </c>
      <c r="F89" s="2" t="s">
        <v>16</v>
      </c>
      <c r="G89" s="2"/>
      <c r="H89" s="4"/>
      <c r="I89" s="5"/>
      <c r="J89" s="5"/>
    </row>
    <row r="90" spans="1:10" x14ac:dyDescent="0.3">
      <c r="A90" s="10">
        <v>1902</v>
      </c>
      <c r="B90" s="11" t="s">
        <v>273</v>
      </c>
      <c r="C90" s="12" t="s">
        <v>265</v>
      </c>
      <c r="D90" s="13" t="s">
        <v>274</v>
      </c>
      <c r="E90" s="3" t="s">
        <v>15</v>
      </c>
      <c r="F90" s="2" t="s">
        <v>16</v>
      </c>
      <c r="G90" s="2"/>
      <c r="H90" s="4"/>
      <c r="I90" s="5"/>
      <c r="J90" s="5"/>
    </row>
    <row r="91" spans="1:10" x14ac:dyDescent="0.3">
      <c r="A91" s="10">
        <v>1902</v>
      </c>
      <c r="B91" s="11" t="s">
        <v>275</v>
      </c>
      <c r="C91" s="12" t="s">
        <v>265</v>
      </c>
      <c r="D91" s="13" t="s">
        <v>276</v>
      </c>
      <c r="E91" s="3" t="s">
        <v>15</v>
      </c>
      <c r="F91" s="2" t="s">
        <v>16</v>
      </c>
      <c r="G91" s="2"/>
      <c r="H91" s="4"/>
      <c r="I91" s="5"/>
      <c r="J91" s="5"/>
    </row>
    <row r="92" spans="1:10" x14ac:dyDescent="0.3">
      <c r="A92" s="10">
        <v>1902</v>
      </c>
      <c r="B92" s="11" t="s">
        <v>277</v>
      </c>
      <c r="C92" s="12" t="s">
        <v>265</v>
      </c>
      <c r="D92" s="13" t="s">
        <v>278</v>
      </c>
      <c r="E92" s="3" t="s">
        <v>15</v>
      </c>
      <c r="F92" s="2" t="s">
        <v>16</v>
      </c>
      <c r="G92" s="2"/>
      <c r="H92" s="4"/>
      <c r="I92" s="5"/>
      <c r="J92" s="5"/>
    </row>
    <row r="93" spans="1:10" x14ac:dyDescent="0.3">
      <c r="A93" s="10">
        <v>1902</v>
      </c>
      <c r="B93" s="11" t="s">
        <v>279</v>
      </c>
      <c r="C93" s="12" t="s">
        <v>265</v>
      </c>
      <c r="D93" s="13" t="s">
        <v>280</v>
      </c>
      <c r="E93" s="3" t="s">
        <v>15</v>
      </c>
      <c r="F93" s="2" t="s">
        <v>16</v>
      </c>
      <c r="G93" s="2"/>
      <c r="H93" s="4"/>
      <c r="I93" s="5"/>
      <c r="J93" s="5"/>
    </row>
    <row r="94" spans="1:10" x14ac:dyDescent="0.3">
      <c r="A94" s="10">
        <v>1902</v>
      </c>
      <c r="B94" s="11" t="s">
        <v>281</v>
      </c>
      <c r="C94" s="12" t="s">
        <v>265</v>
      </c>
      <c r="D94" s="13" t="s">
        <v>282</v>
      </c>
      <c r="E94" s="3" t="s">
        <v>15</v>
      </c>
      <c r="F94" s="2" t="s">
        <v>16</v>
      </c>
      <c r="G94" s="2"/>
      <c r="H94" s="4"/>
      <c r="I94" s="5"/>
      <c r="J94" s="5"/>
    </row>
    <row r="95" spans="1:10" x14ac:dyDescent="0.3">
      <c r="A95" s="10">
        <v>1902</v>
      </c>
      <c r="B95" s="11" t="s">
        <v>283</v>
      </c>
      <c r="C95" s="12" t="s">
        <v>265</v>
      </c>
      <c r="D95" s="13" t="s">
        <v>284</v>
      </c>
      <c r="E95" s="3" t="s">
        <v>15</v>
      </c>
      <c r="F95" s="2" t="s">
        <v>16</v>
      </c>
      <c r="G95" s="2"/>
      <c r="H95" s="4"/>
      <c r="I95" s="5"/>
      <c r="J95" s="5"/>
    </row>
    <row r="96" spans="1:10" x14ac:dyDescent="0.3">
      <c r="A96" s="10">
        <v>1902</v>
      </c>
      <c r="B96" s="11" t="s">
        <v>285</v>
      </c>
      <c r="C96" s="12" t="s">
        <v>265</v>
      </c>
      <c r="D96" s="13" t="s">
        <v>286</v>
      </c>
      <c r="E96" s="3" t="s">
        <v>15</v>
      </c>
      <c r="F96" s="2" t="s">
        <v>16</v>
      </c>
      <c r="G96" s="2"/>
      <c r="H96" s="4"/>
      <c r="I96" s="5"/>
      <c r="J96" s="5"/>
    </row>
    <row r="97" spans="1:10" x14ac:dyDescent="0.3">
      <c r="A97" s="10">
        <v>1902</v>
      </c>
      <c r="B97" s="11" t="s">
        <v>287</v>
      </c>
      <c r="C97" s="12" t="s">
        <v>265</v>
      </c>
      <c r="D97" s="13" t="s">
        <v>288</v>
      </c>
      <c r="E97" s="3" t="s">
        <v>15</v>
      </c>
      <c r="F97" s="2" t="s">
        <v>16</v>
      </c>
      <c r="G97" s="2"/>
      <c r="H97" s="4"/>
      <c r="I97" s="5"/>
      <c r="J97" s="5"/>
    </row>
    <row r="98" spans="1:10" x14ac:dyDescent="0.3">
      <c r="A98" s="10">
        <v>1902</v>
      </c>
      <c r="B98" s="11" t="s">
        <v>289</v>
      </c>
      <c r="C98" s="12" t="s">
        <v>265</v>
      </c>
      <c r="D98" s="13" t="s">
        <v>290</v>
      </c>
      <c r="E98" s="3" t="s">
        <v>15</v>
      </c>
      <c r="F98" s="2" t="s">
        <v>16</v>
      </c>
      <c r="G98" s="2"/>
      <c r="H98" s="4"/>
      <c r="I98" s="5"/>
      <c r="J98" s="5"/>
    </row>
    <row r="99" spans="1:10" x14ac:dyDescent="0.3">
      <c r="A99" s="10">
        <v>1902</v>
      </c>
      <c r="B99" s="11" t="s">
        <v>291</v>
      </c>
      <c r="C99" s="12" t="s">
        <v>265</v>
      </c>
      <c r="D99" s="13" t="s">
        <v>292</v>
      </c>
      <c r="E99" s="3" t="s">
        <v>15</v>
      </c>
      <c r="F99" s="2" t="s">
        <v>16</v>
      </c>
      <c r="G99" s="2"/>
      <c r="H99" s="4"/>
      <c r="I99" s="5"/>
      <c r="J99" s="5"/>
    </row>
    <row r="100" spans="1:10" x14ac:dyDescent="0.3">
      <c r="A100" s="10">
        <v>1902</v>
      </c>
      <c r="B100" s="11" t="s">
        <v>293</v>
      </c>
      <c r="C100" s="12" t="s">
        <v>265</v>
      </c>
      <c r="D100" s="13" t="s">
        <v>294</v>
      </c>
      <c r="E100" s="3" t="s">
        <v>15</v>
      </c>
      <c r="F100" s="2" t="s">
        <v>16</v>
      </c>
      <c r="G100" s="2"/>
      <c r="H100" s="4"/>
      <c r="I100" s="5"/>
      <c r="J100" s="5"/>
    </row>
    <row r="101" spans="1:10" x14ac:dyDescent="0.3">
      <c r="A101" s="10">
        <v>1902</v>
      </c>
      <c r="B101" s="11" t="s">
        <v>295</v>
      </c>
      <c r="C101" s="12" t="s">
        <v>26</v>
      </c>
      <c r="D101" s="13" t="s">
        <v>296</v>
      </c>
      <c r="E101" s="3" t="s">
        <v>15</v>
      </c>
      <c r="F101" s="2" t="s">
        <v>28</v>
      </c>
      <c r="G101" s="2"/>
      <c r="H101" s="4"/>
      <c r="I101" s="5"/>
      <c r="J101" s="5"/>
    </row>
    <row r="102" spans="1:10" x14ac:dyDescent="0.3">
      <c r="A102" s="10">
        <v>1903</v>
      </c>
      <c r="B102" s="11" t="s">
        <v>297</v>
      </c>
      <c r="C102" s="12" t="s">
        <v>68</v>
      </c>
      <c r="D102" s="13" t="s">
        <v>298</v>
      </c>
      <c r="E102" s="3" t="s">
        <v>50</v>
      </c>
      <c r="F102" s="2"/>
      <c r="G102" s="2" t="s">
        <v>897</v>
      </c>
      <c r="H102" s="4">
        <v>1</v>
      </c>
      <c r="I102" s="5" t="s">
        <v>51</v>
      </c>
      <c r="J102" s="5" t="s">
        <v>51</v>
      </c>
    </row>
    <row r="103" spans="1:10" x14ac:dyDescent="0.3">
      <c r="A103" s="10">
        <v>1903</v>
      </c>
      <c r="B103" s="11" t="s">
        <v>299</v>
      </c>
      <c r="C103" s="12" t="s">
        <v>45</v>
      </c>
      <c r="D103" s="13" t="s">
        <v>300</v>
      </c>
      <c r="E103" s="3" t="s">
        <v>15</v>
      </c>
      <c r="F103" s="2" t="s">
        <v>28</v>
      </c>
      <c r="G103" s="2"/>
      <c r="H103" s="4"/>
      <c r="I103" s="5"/>
      <c r="J103" s="5"/>
    </row>
    <row r="104" spans="1:10" x14ac:dyDescent="0.3">
      <c r="A104" s="10">
        <v>1904</v>
      </c>
      <c r="B104" s="11" t="s">
        <v>301</v>
      </c>
      <c r="C104" s="12" t="s">
        <v>302</v>
      </c>
      <c r="D104" s="13" t="s">
        <v>303</v>
      </c>
      <c r="E104" s="3" t="s">
        <v>15</v>
      </c>
      <c r="F104" s="2" t="s">
        <v>16</v>
      </c>
      <c r="G104" s="2"/>
      <c r="H104" s="4"/>
      <c r="I104" s="5"/>
      <c r="J104" s="5"/>
    </row>
    <row r="105" spans="1:10" x14ac:dyDescent="0.3">
      <c r="A105" s="10">
        <v>1907</v>
      </c>
      <c r="B105" s="11" t="s">
        <v>304</v>
      </c>
      <c r="C105" s="12" t="s">
        <v>26</v>
      </c>
      <c r="D105" s="13" t="s">
        <v>305</v>
      </c>
      <c r="E105" s="3" t="s">
        <v>15</v>
      </c>
      <c r="F105" s="2" t="s">
        <v>28</v>
      </c>
      <c r="G105" s="2"/>
      <c r="H105" s="4"/>
      <c r="I105" s="5"/>
      <c r="J105" s="5"/>
    </row>
    <row r="106" spans="1:10" x14ac:dyDescent="0.3">
      <c r="A106" s="10">
        <v>1907</v>
      </c>
      <c r="B106" s="11" t="s">
        <v>306</v>
      </c>
      <c r="C106" s="12" t="s">
        <v>26</v>
      </c>
      <c r="D106" s="13" t="s">
        <v>307</v>
      </c>
      <c r="E106" s="3" t="s">
        <v>15</v>
      </c>
      <c r="F106" s="2" t="s">
        <v>28</v>
      </c>
      <c r="G106" s="2"/>
      <c r="H106" s="4"/>
      <c r="I106" s="5"/>
      <c r="J106" s="5"/>
    </row>
    <row r="107" spans="1:10" x14ac:dyDescent="0.3">
      <c r="A107" s="10">
        <v>1907</v>
      </c>
      <c r="B107" s="11" t="s">
        <v>308</v>
      </c>
      <c r="C107" s="12" t="s">
        <v>26</v>
      </c>
      <c r="D107" s="13" t="s">
        <v>309</v>
      </c>
      <c r="E107" s="3" t="s">
        <v>15</v>
      </c>
      <c r="F107" s="2" t="s">
        <v>28</v>
      </c>
      <c r="G107" s="2"/>
      <c r="H107" s="4"/>
      <c r="I107" s="5"/>
      <c r="J107" s="5"/>
    </row>
    <row r="108" spans="1:10" x14ac:dyDescent="0.3">
      <c r="A108" s="10">
        <v>1909</v>
      </c>
      <c r="B108" s="11" t="s">
        <v>310</v>
      </c>
      <c r="C108" s="12" t="s">
        <v>26</v>
      </c>
      <c r="D108" s="13" t="s">
        <v>311</v>
      </c>
      <c r="E108" s="3" t="s">
        <v>15</v>
      </c>
      <c r="F108" s="2" t="s">
        <v>28</v>
      </c>
      <c r="G108" s="2"/>
      <c r="H108" s="4"/>
      <c r="I108" s="5"/>
      <c r="J108" s="5"/>
    </row>
    <row r="109" spans="1:10" x14ac:dyDescent="0.3">
      <c r="A109" s="10">
        <v>1910</v>
      </c>
      <c r="B109" s="11" t="s">
        <v>312</v>
      </c>
      <c r="C109" s="12" t="s">
        <v>313</v>
      </c>
      <c r="D109" s="13" t="s">
        <v>314</v>
      </c>
      <c r="E109" s="3" t="s">
        <v>15</v>
      </c>
      <c r="F109" s="2" t="s">
        <v>20</v>
      </c>
      <c r="G109" s="2"/>
      <c r="H109" s="4"/>
      <c r="I109" s="5"/>
      <c r="J109" s="5"/>
    </row>
    <row r="110" spans="1:10" x14ac:dyDescent="0.3">
      <c r="A110" s="10">
        <v>1910</v>
      </c>
      <c r="B110" s="11" t="s">
        <v>315</v>
      </c>
      <c r="C110" s="12" t="s">
        <v>26</v>
      </c>
      <c r="D110" s="13" t="s">
        <v>316</v>
      </c>
      <c r="E110" s="3" t="s">
        <v>15</v>
      </c>
      <c r="F110" s="2" t="s">
        <v>28</v>
      </c>
      <c r="G110" s="2"/>
      <c r="H110" s="4"/>
      <c r="I110" s="5"/>
      <c r="J110" s="5"/>
    </row>
    <row r="111" spans="1:10" x14ac:dyDescent="0.3">
      <c r="A111" s="10">
        <v>1910</v>
      </c>
      <c r="B111" s="11" t="s">
        <v>317</v>
      </c>
      <c r="C111" s="12" t="s">
        <v>26</v>
      </c>
      <c r="D111" s="13" t="s">
        <v>318</v>
      </c>
      <c r="E111" s="3" t="s">
        <v>15</v>
      </c>
      <c r="F111" s="2" t="s">
        <v>28</v>
      </c>
      <c r="G111" s="2"/>
      <c r="H111" s="4"/>
      <c r="I111" s="5"/>
      <c r="J111" s="5"/>
    </row>
    <row r="112" spans="1:10" x14ac:dyDescent="0.3">
      <c r="A112" s="10">
        <v>1911</v>
      </c>
      <c r="B112" s="11" t="s">
        <v>319</v>
      </c>
      <c r="C112" s="12" t="s">
        <v>26</v>
      </c>
      <c r="D112" s="13" t="s">
        <v>320</v>
      </c>
      <c r="E112" s="3" t="s">
        <v>15</v>
      </c>
      <c r="F112" s="2" t="s">
        <v>28</v>
      </c>
      <c r="G112" s="2"/>
      <c r="H112" s="4"/>
      <c r="I112" s="5"/>
      <c r="J112" s="5"/>
    </row>
    <row r="113" spans="1:10" x14ac:dyDescent="0.3">
      <c r="A113" s="10">
        <v>1911</v>
      </c>
      <c r="B113" s="11" t="s">
        <v>321</v>
      </c>
      <c r="C113" s="12" t="s">
        <v>322</v>
      </c>
      <c r="D113" s="13" t="s">
        <v>323</v>
      </c>
      <c r="E113" s="3" t="s">
        <v>50</v>
      </c>
      <c r="F113" s="2"/>
      <c r="G113" s="2" t="s">
        <v>898</v>
      </c>
      <c r="H113" s="4">
        <v>1</v>
      </c>
      <c r="I113" s="5" t="s">
        <v>51</v>
      </c>
      <c r="J113" s="5" t="s">
        <v>51</v>
      </c>
    </row>
    <row r="114" spans="1:10" x14ac:dyDescent="0.3">
      <c r="A114" s="10">
        <v>1911</v>
      </c>
      <c r="B114" s="11" t="s">
        <v>324</v>
      </c>
      <c r="C114" s="12" t="s">
        <v>325</v>
      </c>
      <c r="D114" s="13" t="s">
        <v>326</v>
      </c>
      <c r="E114" s="3" t="s">
        <v>50</v>
      </c>
      <c r="F114" s="2"/>
      <c r="G114" s="2" t="s">
        <v>898</v>
      </c>
      <c r="H114" s="4">
        <v>1</v>
      </c>
      <c r="I114" s="5" t="s">
        <v>87</v>
      </c>
      <c r="J114" s="5" t="s">
        <v>51</v>
      </c>
    </row>
    <row r="115" spans="1:10" x14ac:dyDescent="0.3">
      <c r="A115" s="10">
        <v>1912</v>
      </c>
      <c r="B115" s="11" t="s">
        <v>327</v>
      </c>
      <c r="C115" s="12" t="s">
        <v>328</v>
      </c>
      <c r="D115" s="13" t="s">
        <v>329</v>
      </c>
      <c r="E115" s="3" t="s">
        <v>50</v>
      </c>
      <c r="F115" s="2"/>
      <c r="G115" s="2" t="s">
        <v>897</v>
      </c>
      <c r="H115" s="4">
        <v>3</v>
      </c>
      <c r="I115" s="5" t="s">
        <v>132</v>
      </c>
      <c r="J115" s="5" t="s">
        <v>51</v>
      </c>
    </row>
    <row r="116" spans="1:10" x14ac:dyDescent="0.3">
      <c r="A116" s="10">
        <v>1913</v>
      </c>
      <c r="B116" s="11" t="s">
        <v>330</v>
      </c>
      <c r="C116" s="12" t="s">
        <v>331</v>
      </c>
      <c r="D116" s="13" t="s">
        <v>332</v>
      </c>
      <c r="E116" s="3" t="s">
        <v>50</v>
      </c>
      <c r="F116" s="2"/>
      <c r="G116" s="2" t="s">
        <v>897</v>
      </c>
      <c r="H116" s="4">
        <v>3</v>
      </c>
      <c r="I116" s="5" t="s">
        <v>256</v>
      </c>
      <c r="J116" s="5" t="s">
        <v>51</v>
      </c>
    </row>
    <row r="117" spans="1:10" x14ac:dyDescent="0.3">
      <c r="A117" s="10">
        <v>1917</v>
      </c>
      <c r="B117" s="11" t="s">
        <v>333</v>
      </c>
      <c r="C117" s="12" t="s">
        <v>26</v>
      </c>
      <c r="D117" s="13" t="s">
        <v>334</v>
      </c>
      <c r="E117" s="3" t="s">
        <v>15</v>
      </c>
      <c r="F117" s="2" t="s">
        <v>28</v>
      </c>
      <c r="G117" s="2"/>
      <c r="H117" s="4"/>
      <c r="I117" s="5"/>
      <c r="J117" s="5"/>
    </row>
    <row r="118" spans="1:10" x14ac:dyDescent="0.3">
      <c r="A118" s="10">
        <v>1917</v>
      </c>
      <c r="B118" s="11" t="s">
        <v>335</v>
      </c>
      <c r="C118" s="12" t="s">
        <v>138</v>
      </c>
      <c r="D118" s="13" t="s">
        <v>336</v>
      </c>
      <c r="E118" s="3" t="s">
        <v>15</v>
      </c>
      <c r="F118" s="2" t="s">
        <v>28</v>
      </c>
      <c r="G118" s="2"/>
      <c r="H118" s="4"/>
      <c r="I118" s="5"/>
      <c r="J118" s="5"/>
    </row>
    <row r="119" spans="1:10" x14ac:dyDescent="0.3">
      <c r="A119" s="10">
        <v>1917</v>
      </c>
      <c r="B119" s="11" t="s">
        <v>337</v>
      </c>
      <c r="C119" s="12" t="s">
        <v>26</v>
      </c>
      <c r="D119" s="13" t="s">
        <v>338</v>
      </c>
      <c r="E119" s="3" t="s">
        <v>15</v>
      </c>
      <c r="F119" s="2" t="s">
        <v>28</v>
      </c>
      <c r="G119" s="2"/>
      <c r="H119" s="4"/>
      <c r="I119" s="5"/>
      <c r="J119" s="5"/>
    </row>
    <row r="120" spans="1:10" x14ac:dyDescent="0.3">
      <c r="A120" s="10">
        <v>1918</v>
      </c>
      <c r="B120" s="11" t="s">
        <v>339</v>
      </c>
      <c r="C120" s="12" t="s">
        <v>340</v>
      </c>
      <c r="D120" s="13" t="s">
        <v>341</v>
      </c>
      <c r="E120" s="3" t="s">
        <v>15</v>
      </c>
      <c r="F120" s="2" t="s">
        <v>28</v>
      </c>
      <c r="G120" s="2"/>
      <c r="H120" s="4"/>
      <c r="I120" s="5"/>
      <c r="J120" s="5"/>
    </row>
    <row r="121" spans="1:10" x14ac:dyDescent="0.3">
      <c r="A121" s="10">
        <v>1918</v>
      </c>
      <c r="B121" s="11" t="s">
        <v>342</v>
      </c>
      <c r="C121" s="12" t="s">
        <v>26</v>
      </c>
      <c r="D121" s="13" t="s">
        <v>343</v>
      </c>
      <c r="E121" s="3" t="s">
        <v>15</v>
      </c>
      <c r="F121" s="2" t="s">
        <v>28</v>
      </c>
      <c r="G121" s="2"/>
      <c r="H121" s="4"/>
      <c r="I121" s="5"/>
      <c r="J121" s="5"/>
    </row>
    <row r="122" spans="1:10" x14ac:dyDescent="0.3">
      <c r="A122" s="10">
        <v>1920</v>
      </c>
      <c r="B122" s="11" t="s">
        <v>344</v>
      </c>
      <c r="C122" s="12" t="s">
        <v>345</v>
      </c>
      <c r="D122" s="13" t="s">
        <v>346</v>
      </c>
      <c r="E122" s="3" t="s">
        <v>50</v>
      </c>
      <c r="F122" s="2"/>
      <c r="G122" s="2" t="s">
        <v>897</v>
      </c>
      <c r="H122" s="4">
        <v>2</v>
      </c>
      <c r="I122" s="5" t="s">
        <v>347</v>
      </c>
      <c r="J122" s="5" t="s">
        <v>51</v>
      </c>
    </row>
    <row r="123" spans="1:10" x14ac:dyDescent="0.3">
      <c r="A123" s="10">
        <v>1920</v>
      </c>
      <c r="B123" s="11" t="s">
        <v>348</v>
      </c>
      <c r="C123" s="12" t="s">
        <v>103</v>
      </c>
      <c r="D123" s="13" t="s">
        <v>349</v>
      </c>
      <c r="E123" s="3" t="s">
        <v>50</v>
      </c>
      <c r="F123" s="2"/>
      <c r="G123" s="2" t="s">
        <v>897</v>
      </c>
      <c r="H123" s="4">
        <v>3</v>
      </c>
      <c r="I123" s="5" t="s">
        <v>99</v>
      </c>
      <c r="J123" s="5" t="s">
        <v>51</v>
      </c>
    </row>
    <row r="124" spans="1:10" x14ac:dyDescent="0.3">
      <c r="A124" s="10">
        <v>1921</v>
      </c>
      <c r="B124" s="11" t="s">
        <v>350</v>
      </c>
      <c r="C124" s="12" t="s">
        <v>115</v>
      </c>
      <c r="D124" s="13" t="s">
        <v>351</v>
      </c>
      <c r="E124" s="3" t="s">
        <v>15</v>
      </c>
      <c r="F124" s="2" t="s">
        <v>28</v>
      </c>
      <c r="G124" s="2"/>
      <c r="H124" s="4"/>
      <c r="I124" s="5"/>
      <c r="J124" s="5"/>
    </row>
    <row r="125" spans="1:10" x14ac:dyDescent="0.3">
      <c r="A125" s="10">
        <v>1921</v>
      </c>
      <c r="B125" s="11" t="s">
        <v>352</v>
      </c>
      <c r="C125" s="12" t="s">
        <v>26</v>
      </c>
      <c r="D125" s="13" t="s">
        <v>353</v>
      </c>
      <c r="E125" s="3" t="s">
        <v>15</v>
      </c>
      <c r="F125" s="2" t="s">
        <v>28</v>
      </c>
      <c r="G125" s="2"/>
      <c r="H125" s="4"/>
      <c r="I125" s="5"/>
      <c r="J125" s="5"/>
    </row>
    <row r="126" spans="1:10" x14ac:dyDescent="0.3">
      <c r="A126" s="10">
        <v>1922</v>
      </c>
      <c r="B126" s="11" t="s">
        <v>354</v>
      </c>
      <c r="C126" s="12" t="s">
        <v>26</v>
      </c>
      <c r="D126" s="13" t="s">
        <v>355</v>
      </c>
      <c r="E126" s="3" t="s">
        <v>15</v>
      </c>
      <c r="F126" s="2" t="s">
        <v>28</v>
      </c>
      <c r="G126" s="2"/>
      <c r="H126" s="4"/>
      <c r="I126" s="5"/>
      <c r="J126" s="5"/>
    </row>
    <row r="127" spans="1:10" x14ac:dyDescent="0.3">
      <c r="A127" s="10">
        <v>1923</v>
      </c>
      <c r="B127" s="11" t="s">
        <v>356</v>
      </c>
      <c r="C127" s="12" t="s">
        <v>26</v>
      </c>
      <c r="D127" s="13" t="s">
        <v>357</v>
      </c>
      <c r="E127" s="3" t="s">
        <v>15</v>
      </c>
      <c r="F127" s="2" t="s">
        <v>28</v>
      </c>
      <c r="G127" s="2"/>
      <c r="H127" s="4"/>
      <c r="I127" s="5"/>
      <c r="J127" s="5"/>
    </row>
    <row r="128" spans="1:10" x14ac:dyDescent="0.3">
      <c r="A128" s="10">
        <v>1923</v>
      </c>
      <c r="B128" s="11" t="s">
        <v>358</v>
      </c>
      <c r="C128" s="12" t="s">
        <v>97</v>
      </c>
      <c r="D128" s="13" t="s">
        <v>359</v>
      </c>
      <c r="E128" s="3" t="s">
        <v>50</v>
      </c>
      <c r="F128" s="2"/>
      <c r="G128" s="2" t="s">
        <v>897</v>
      </c>
      <c r="H128" s="4">
        <v>3</v>
      </c>
      <c r="I128" s="5" t="s">
        <v>99</v>
      </c>
      <c r="J128" s="5" t="s">
        <v>51</v>
      </c>
    </row>
    <row r="129" spans="1:12" x14ac:dyDescent="0.3">
      <c r="A129" s="10">
        <v>1923</v>
      </c>
      <c r="B129" s="11" t="s">
        <v>360</v>
      </c>
      <c r="C129" s="12" t="s">
        <v>97</v>
      </c>
      <c r="D129" s="13" t="s">
        <v>361</v>
      </c>
      <c r="E129" s="3" t="s">
        <v>50</v>
      </c>
      <c r="F129" s="2"/>
      <c r="G129" s="2" t="s">
        <v>897</v>
      </c>
      <c r="H129" s="4">
        <v>3</v>
      </c>
      <c r="I129" s="5" t="s">
        <v>99</v>
      </c>
      <c r="J129" s="5" t="s">
        <v>51</v>
      </c>
    </row>
    <row r="130" spans="1:12" x14ac:dyDescent="0.3">
      <c r="A130" s="10">
        <v>1923</v>
      </c>
      <c r="B130" s="11" t="s">
        <v>362</v>
      </c>
      <c r="C130" s="12" t="s">
        <v>45</v>
      </c>
      <c r="D130" s="13" t="s">
        <v>363</v>
      </c>
      <c r="E130" s="3" t="s">
        <v>15</v>
      </c>
      <c r="F130" s="2" t="s">
        <v>28</v>
      </c>
      <c r="G130" s="2"/>
      <c r="H130" s="4"/>
      <c r="I130" s="5"/>
      <c r="J130" s="5"/>
    </row>
    <row r="131" spans="1:12" x14ac:dyDescent="0.3">
      <c r="A131" s="10">
        <v>1923</v>
      </c>
      <c r="B131" s="11" t="s">
        <v>364</v>
      </c>
      <c r="C131" s="12" t="s">
        <v>365</v>
      </c>
      <c r="D131" s="13" t="s">
        <v>366</v>
      </c>
      <c r="E131" s="3" t="s">
        <v>50</v>
      </c>
      <c r="F131" s="2"/>
      <c r="G131" s="2" t="s">
        <v>898</v>
      </c>
      <c r="H131" s="4">
        <v>3</v>
      </c>
      <c r="I131" s="5" t="s">
        <v>256</v>
      </c>
      <c r="J131" s="5" t="s">
        <v>51</v>
      </c>
    </row>
    <row r="132" spans="1:12" x14ac:dyDescent="0.3">
      <c r="A132" s="10">
        <v>1923</v>
      </c>
      <c r="B132" s="11" t="s">
        <v>367</v>
      </c>
      <c r="C132" s="12" t="s">
        <v>365</v>
      </c>
      <c r="D132" s="13" t="s">
        <v>368</v>
      </c>
      <c r="E132" s="3" t="s">
        <v>50</v>
      </c>
      <c r="F132" s="2"/>
      <c r="G132" s="2" t="s">
        <v>898</v>
      </c>
      <c r="H132" s="4">
        <v>3</v>
      </c>
      <c r="I132" s="5" t="s">
        <v>256</v>
      </c>
      <c r="J132" s="5" t="s">
        <v>132</v>
      </c>
      <c r="K132" s="18"/>
      <c r="L132" s="19"/>
    </row>
    <row r="133" spans="1:12" x14ac:dyDescent="0.3">
      <c r="A133" s="10">
        <v>1923</v>
      </c>
      <c r="B133" s="11" t="s">
        <v>369</v>
      </c>
      <c r="C133" s="12" t="s">
        <v>109</v>
      </c>
      <c r="D133" s="13" t="s">
        <v>370</v>
      </c>
      <c r="E133" s="3" t="s">
        <v>50</v>
      </c>
      <c r="F133" s="2"/>
      <c r="G133" s="2" t="s">
        <v>898</v>
      </c>
      <c r="H133" s="4">
        <v>3</v>
      </c>
      <c r="I133" s="5" t="s">
        <v>111</v>
      </c>
      <c r="J133" s="5" t="s">
        <v>51</v>
      </c>
    </row>
    <row r="134" spans="1:12" x14ac:dyDescent="0.3">
      <c r="A134" s="10">
        <v>1924</v>
      </c>
      <c r="B134" s="11" t="s">
        <v>371</v>
      </c>
      <c r="C134" s="12" t="s">
        <v>313</v>
      </c>
      <c r="D134" s="13" t="s">
        <v>372</v>
      </c>
      <c r="E134" s="3" t="s">
        <v>15</v>
      </c>
      <c r="F134" s="2" t="s">
        <v>20</v>
      </c>
      <c r="G134" s="2"/>
      <c r="H134" s="4"/>
      <c r="I134" s="5"/>
      <c r="J134" s="5"/>
    </row>
    <row r="135" spans="1:12" x14ac:dyDescent="0.3">
      <c r="A135" s="10">
        <v>1924</v>
      </c>
      <c r="B135" s="11" t="s">
        <v>373</v>
      </c>
      <c r="C135" s="12" t="s">
        <v>374</v>
      </c>
      <c r="D135" s="13" t="s">
        <v>375</v>
      </c>
      <c r="E135" s="3" t="s">
        <v>50</v>
      </c>
      <c r="F135" s="2"/>
      <c r="G135" s="2" t="s">
        <v>897</v>
      </c>
      <c r="H135" s="4">
        <v>3</v>
      </c>
      <c r="I135" s="5" t="s">
        <v>256</v>
      </c>
      <c r="J135" s="5" t="s">
        <v>51</v>
      </c>
    </row>
    <row r="136" spans="1:12" x14ac:dyDescent="0.3">
      <c r="A136" s="10">
        <v>1925</v>
      </c>
      <c r="B136" s="11" t="s">
        <v>376</v>
      </c>
      <c r="C136" s="12" t="s">
        <v>377</v>
      </c>
      <c r="D136" s="13" t="s">
        <v>378</v>
      </c>
      <c r="E136" s="3" t="s">
        <v>50</v>
      </c>
      <c r="F136" s="2"/>
      <c r="G136" s="2" t="s">
        <v>897</v>
      </c>
      <c r="H136" s="4">
        <v>3</v>
      </c>
      <c r="I136" s="5" t="s">
        <v>256</v>
      </c>
      <c r="J136" s="5" t="s">
        <v>51</v>
      </c>
    </row>
    <row r="137" spans="1:12" x14ac:dyDescent="0.3">
      <c r="A137" s="10">
        <v>1925</v>
      </c>
      <c r="B137" s="11" t="s">
        <v>379</v>
      </c>
      <c r="C137" s="12" t="s">
        <v>377</v>
      </c>
      <c r="D137" s="13" t="s">
        <v>380</v>
      </c>
      <c r="E137" s="3" t="s">
        <v>50</v>
      </c>
      <c r="F137" s="2"/>
      <c r="G137" s="2" t="s">
        <v>898</v>
      </c>
      <c r="H137" s="4">
        <v>3</v>
      </c>
      <c r="I137" s="5" t="s">
        <v>256</v>
      </c>
      <c r="J137" s="5" t="s">
        <v>51</v>
      </c>
    </row>
    <row r="138" spans="1:12" x14ac:dyDescent="0.3">
      <c r="A138" s="10">
        <v>1925</v>
      </c>
      <c r="B138" s="11" t="s">
        <v>381</v>
      </c>
      <c r="C138" s="12" t="s">
        <v>26</v>
      </c>
      <c r="D138" s="13" t="s">
        <v>382</v>
      </c>
      <c r="E138" s="3" t="s">
        <v>15</v>
      </c>
      <c r="F138" s="2" t="s">
        <v>28</v>
      </c>
      <c r="G138" s="2"/>
      <c r="H138" s="4"/>
      <c r="I138" s="5"/>
      <c r="J138" s="5"/>
    </row>
    <row r="139" spans="1:12" x14ac:dyDescent="0.3">
      <c r="A139" s="10">
        <v>1926</v>
      </c>
      <c r="B139" s="11" t="s">
        <v>383</v>
      </c>
      <c r="C139" s="12" t="s">
        <v>328</v>
      </c>
      <c r="D139" s="13" t="s">
        <v>384</v>
      </c>
      <c r="E139" s="3" t="s">
        <v>50</v>
      </c>
      <c r="F139" s="2"/>
      <c r="G139" s="2" t="s">
        <v>898</v>
      </c>
      <c r="H139" s="4">
        <v>3</v>
      </c>
      <c r="I139" s="5" t="s">
        <v>132</v>
      </c>
      <c r="J139" s="5" t="s">
        <v>51</v>
      </c>
    </row>
    <row r="140" spans="1:12" x14ac:dyDescent="0.3">
      <c r="A140" s="10">
        <v>1926</v>
      </c>
      <c r="B140" s="11" t="s">
        <v>385</v>
      </c>
      <c r="C140" s="12" t="s">
        <v>26</v>
      </c>
      <c r="D140" s="13" t="s">
        <v>386</v>
      </c>
      <c r="E140" s="3" t="s">
        <v>15</v>
      </c>
      <c r="F140" s="2" t="s">
        <v>28</v>
      </c>
      <c r="G140" s="2"/>
      <c r="H140" s="4"/>
      <c r="I140" s="5"/>
      <c r="J140" s="5"/>
    </row>
    <row r="141" spans="1:12" x14ac:dyDescent="0.3">
      <c r="A141" s="10">
        <v>1926</v>
      </c>
      <c r="B141" s="11" t="s">
        <v>387</v>
      </c>
      <c r="C141" s="12" t="s">
        <v>388</v>
      </c>
      <c r="D141" s="13" t="s">
        <v>389</v>
      </c>
      <c r="E141" s="3" t="s">
        <v>50</v>
      </c>
      <c r="F141" s="2"/>
      <c r="G141" s="2" t="s">
        <v>897</v>
      </c>
      <c r="H141" s="4">
        <v>3</v>
      </c>
      <c r="I141" s="5" t="s">
        <v>99</v>
      </c>
      <c r="J141" s="5" t="s">
        <v>51</v>
      </c>
    </row>
    <row r="142" spans="1:12" x14ac:dyDescent="0.3">
      <c r="A142" s="10">
        <v>1927</v>
      </c>
      <c r="B142" s="11" t="s">
        <v>390</v>
      </c>
      <c r="C142" s="12" t="s">
        <v>26</v>
      </c>
      <c r="D142" s="13" t="s">
        <v>391</v>
      </c>
      <c r="E142" s="3" t="s">
        <v>15</v>
      </c>
      <c r="F142" s="2" t="s">
        <v>28</v>
      </c>
      <c r="G142" s="2"/>
      <c r="H142" s="4"/>
      <c r="I142" s="5"/>
      <c r="J142" s="5"/>
    </row>
    <row r="143" spans="1:12" x14ac:dyDescent="0.3">
      <c r="A143" s="10" t="s">
        <v>392</v>
      </c>
      <c r="B143" s="11" t="s">
        <v>393</v>
      </c>
      <c r="C143" s="12" t="s">
        <v>394</v>
      </c>
      <c r="D143" s="13" t="s">
        <v>395</v>
      </c>
      <c r="E143" s="3" t="s">
        <v>15</v>
      </c>
      <c r="F143" s="2" t="s">
        <v>20</v>
      </c>
      <c r="G143" s="2"/>
      <c r="H143" s="4"/>
      <c r="I143" s="5"/>
      <c r="J143" s="5"/>
    </row>
    <row r="144" spans="1:12" x14ac:dyDescent="0.3">
      <c r="A144" s="10" t="s">
        <v>392</v>
      </c>
      <c r="B144" s="11" t="s">
        <v>396</v>
      </c>
      <c r="C144" s="12" t="s">
        <v>397</v>
      </c>
      <c r="D144" s="13" t="s">
        <v>398</v>
      </c>
      <c r="E144" s="3" t="s">
        <v>50</v>
      </c>
      <c r="F144" s="2"/>
      <c r="G144" s="2" t="s">
        <v>897</v>
      </c>
      <c r="H144" s="4">
        <v>3</v>
      </c>
      <c r="I144" s="5" t="s">
        <v>168</v>
      </c>
      <c r="J144" s="5" t="s">
        <v>51</v>
      </c>
    </row>
    <row r="145" spans="1:10" x14ac:dyDescent="0.3">
      <c r="A145" s="10">
        <v>1929</v>
      </c>
      <c r="B145" s="11" t="s">
        <v>399</v>
      </c>
      <c r="C145" s="12" t="s">
        <v>26</v>
      </c>
      <c r="D145" s="13" t="s">
        <v>400</v>
      </c>
      <c r="E145" s="3" t="s">
        <v>15</v>
      </c>
      <c r="F145" s="2" t="s">
        <v>28</v>
      </c>
      <c r="G145" s="2"/>
      <c r="H145" s="4"/>
      <c r="I145" s="5"/>
      <c r="J145" s="5"/>
    </row>
    <row r="146" spans="1:10" x14ac:dyDescent="0.3">
      <c r="A146" s="10">
        <v>1929</v>
      </c>
      <c r="B146" s="11" t="s">
        <v>399</v>
      </c>
      <c r="C146" s="12" t="s">
        <v>26</v>
      </c>
      <c r="D146" s="13" t="s">
        <v>400</v>
      </c>
      <c r="E146" s="3" t="s">
        <v>15</v>
      </c>
      <c r="F146" s="2" t="s">
        <v>28</v>
      </c>
      <c r="G146" s="2"/>
      <c r="H146" s="4"/>
      <c r="I146" s="5"/>
      <c r="J146" s="5"/>
    </row>
    <row r="147" spans="1:10" x14ac:dyDescent="0.3">
      <c r="A147" s="10">
        <v>1929</v>
      </c>
      <c r="B147" s="11" t="s">
        <v>401</v>
      </c>
      <c r="C147" s="12" t="s">
        <v>26</v>
      </c>
      <c r="D147" s="13" t="s">
        <v>402</v>
      </c>
      <c r="E147" s="3" t="s">
        <v>15</v>
      </c>
      <c r="F147" s="2" t="s">
        <v>28</v>
      </c>
      <c r="G147" s="2"/>
      <c r="H147" s="4"/>
      <c r="I147" s="5"/>
      <c r="J147" s="5"/>
    </row>
    <row r="148" spans="1:10" x14ac:dyDescent="0.3">
      <c r="A148" s="10">
        <v>1930</v>
      </c>
      <c r="B148" s="11" t="s">
        <v>403</v>
      </c>
      <c r="C148" s="12" t="s">
        <v>68</v>
      </c>
      <c r="D148" s="13" t="s">
        <v>404</v>
      </c>
      <c r="E148" s="3" t="s">
        <v>50</v>
      </c>
      <c r="F148" s="2"/>
      <c r="G148" s="2" t="s">
        <v>897</v>
      </c>
      <c r="H148" s="4">
        <v>1</v>
      </c>
      <c r="I148" s="5" t="s">
        <v>51</v>
      </c>
      <c r="J148" s="5" t="s">
        <v>51</v>
      </c>
    </row>
    <row r="149" spans="1:10" x14ac:dyDescent="0.3">
      <c r="A149" s="10">
        <v>1930</v>
      </c>
      <c r="B149" s="11" t="s">
        <v>405</v>
      </c>
      <c r="C149" s="12" t="s">
        <v>406</v>
      </c>
      <c r="D149" s="13" t="s">
        <v>407</v>
      </c>
      <c r="E149" s="3" t="s">
        <v>50</v>
      </c>
      <c r="F149" s="2"/>
      <c r="G149" s="2" t="s">
        <v>897</v>
      </c>
      <c r="H149" s="4">
        <v>1</v>
      </c>
      <c r="I149" s="5" t="s">
        <v>408</v>
      </c>
      <c r="J149" s="5" t="s">
        <v>51</v>
      </c>
    </row>
    <row r="150" spans="1:10" x14ac:dyDescent="0.3">
      <c r="A150" s="10">
        <v>1930</v>
      </c>
      <c r="B150" s="11" t="s">
        <v>409</v>
      </c>
      <c r="C150" s="12" t="s">
        <v>26</v>
      </c>
      <c r="D150" s="13" t="s">
        <v>410</v>
      </c>
      <c r="E150" s="3" t="s">
        <v>15</v>
      </c>
      <c r="F150" s="2" t="s">
        <v>28</v>
      </c>
      <c r="G150" s="2"/>
      <c r="H150" s="4"/>
      <c r="I150" s="5"/>
      <c r="J150" s="5"/>
    </row>
    <row r="151" spans="1:10" x14ac:dyDescent="0.3">
      <c r="A151" s="10">
        <v>1932</v>
      </c>
      <c r="B151" s="11" t="s">
        <v>411</v>
      </c>
      <c r="C151" s="12" t="s">
        <v>331</v>
      </c>
      <c r="D151" s="13" t="s">
        <v>412</v>
      </c>
      <c r="E151" s="3" t="s">
        <v>50</v>
      </c>
      <c r="F151" s="2"/>
      <c r="G151" s="2" t="s">
        <v>898</v>
      </c>
      <c r="H151" s="4">
        <v>3</v>
      </c>
      <c r="I151" s="5" t="s">
        <v>256</v>
      </c>
      <c r="J151" s="5" t="s">
        <v>51</v>
      </c>
    </row>
    <row r="152" spans="1:10" x14ac:dyDescent="0.3">
      <c r="A152" s="10">
        <v>1933</v>
      </c>
      <c r="B152" s="11" t="s">
        <v>413</v>
      </c>
      <c r="C152" s="12" t="s">
        <v>26</v>
      </c>
      <c r="D152" s="13" t="s">
        <v>414</v>
      </c>
      <c r="E152" s="3" t="s">
        <v>15</v>
      </c>
      <c r="F152" s="2" t="s">
        <v>28</v>
      </c>
      <c r="G152" s="2"/>
      <c r="H152" s="4"/>
      <c r="I152" s="5"/>
      <c r="J152" s="5"/>
    </row>
    <row r="153" spans="1:10" x14ac:dyDescent="0.3">
      <c r="A153" s="10">
        <v>1934</v>
      </c>
      <c r="B153" s="11" t="s">
        <v>415</v>
      </c>
      <c r="C153" s="12" t="s">
        <v>397</v>
      </c>
      <c r="D153" s="13" t="s">
        <v>416</v>
      </c>
      <c r="E153" s="3" t="s">
        <v>50</v>
      </c>
      <c r="F153" s="2"/>
      <c r="G153" s="2" t="s">
        <v>897</v>
      </c>
      <c r="H153" s="4">
        <v>3</v>
      </c>
      <c r="I153" s="5" t="s">
        <v>168</v>
      </c>
      <c r="J153" s="5" t="s">
        <v>51</v>
      </c>
    </row>
    <row r="154" spans="1:10" x14ac:dyDescent="0.3">
      <c r="A154" s="10">
        <v>1934</v>
      </c>
      <c r="B154" s="11" t="s">
        <v>417</v>
      </c>
      <c r="C154" s="12" t="s">
        <v>418</v>
      </c>
      <c r="D154" s="13" t="s">
        <v>419</v>
      </c>
      <c r="E154" s="3" t="s">
        <v>50</v>
      </c>
      <c r="F154" s="2"/>
      <c r="G154" s="2" t="s">
        <v>898</v>
      </c>
      <c r="H154" s="4">
        <v>3</v>
      </c>
      <c r="I154" s="5" t="s">
        <v>256</v>
      </c>
      <c r="J154" s="5" t="s">
        <v>51</v>
      </c>
    </row>
    <row r="155" spans="1:10" x14ac:dyDescent="0.3">
      <c r="A155" s="10">
        <v>1934</v>
      </c>
      <c r="B155" s="11" t="s">
        <v>420</v>
      </c>
      <c r="C155" s="12" t="s">
        <v>421</v>
      </c>
      <c r="D155" s="13" t="s">
        <v>422</v>
      </c>
      <c r="E155" s="3" t="s">
        <v>50</v>
      </c>
      <c r="F155" s="2"/>
      <c r="G155" s="2" t="s">
        <v>898</v>
      </c>
      <c r="H155" s="4">
        <v>3</v>
      </c>
      <c r="I155" s="5" t="s">
        <v>256</v>
      </c>
      <c r="J155" s="5" t="s">
        <v>51</v>
      </c>
    </row>
    <row r="156" spans="1:10" x14ac:dyDescent="0.3">
      <c r="A156" s="10" t="s">
        <v>423</v>
      </c>
      <c r="B156" s="11" t="s">
        <v>424</v>
      </c>
      <c r="C156" s="12" t="s">
        <v>425</v>
      </c>
      <c r="D156" s="13" t="s">
        <v>426</v>
      </c>
      <c r="E156" s="3" t="s">
        <v>15</v>
      </c>
      <c r="F156" s="2" t="s">
        <v>28</v>
      </c>
      <c r="G156" s="2"/>
      <c r="H156" s="4"/>
      <c r="I156" s="5"/>
      <c r="J156" s="5"/>
    </row>
    <row r="157" spans="1:10" x14ac:dyDescent="0.3">
      <c r="A157" s="10">
        <v>1936</v>
      </c>
      <c r="B157" s="11" t="s">
        <v>427</v>
      </c>
      <c r="C157" s="12" t="s">
        <v>26</v>
      </c>
      <c r="D157" s="13" t="s">
        <v>428</v>
      </c>
      <c r="E157" s="3" t="s">
        <v>15</v>
      </c>
      <c r="F157" s="2" t="s">
        <v>28</v>
      </c>
      <c r="G157" s="2"/>
      <c r="H157" s="4"/>
      <c r="I157" s="5"/>
      <c r="J157" s="5"/>
    </row>
    <row r="158" spans="1:10" x14ac:dyDescent="0.3">
      <c r="A158" s="10">
        <v>1936</v>
      </c>
      <c r="B158" s="11" t="s">
        <v>429</v>
      </c>
      <c r="C158" s="12" t="s">
        <v>397</v>
      </c>
      <c r="D158" s="13" t="s">
        <v>430</v>
      </c>
      <c r="E158" s="3" t="s">
        <v>50</v>
      </c>
      <c r="F158" s="2"/>
      <c r="G158" s="2" t="s">
        <v>898</v>
      </c>
      <c r="H158" s="4">
        <v>3</v>
      </c>
      <c r="I158" s="5" t="s">
        <v>168</v>
      </c>
      <c r="J158" s="5" t="s">
        <v>132</v>
      </c>
    </row>
    <row r="159" spans="1:10" x14ac:dyDescent="0.3">
      <c r="A159" s="10">
        <v>1937</v>
      </c>
      <c r="B159" s="11" t="s">
        <v>431</v>
      </c>
      <c r="C159" s="12" t="s">
        <v>26</v>
      </c>
      <c r="D159" s="13" t="s">
        <v>432</v>
      </c>
      <c r="E159" s="3" t="s">
        <v>15</v>
      </c>
      <c r="F159" s="2" t="s">
        <v>28</v>
      </c>
      <c r="G159" s="2"/>
      <c r="H159" s="4"/>
      <c r="I159" s="5"/>
      <c r="J159" s="5"/>
    </row>
    <row r="160" spans="1:10" x14ac:dyDescent="0.3">
      <c r="A160" s="10">
        <v>1937</v>
      </c>
      <c r="B160" s="11" t="s">
        <v>433</v>
      </c>
      <c r="C160" s="12" t="s">
        <v>26</v>
      </c>
      <c r="D160" s="13" t="s">
        <v>434</v>
      </c>
      <c r="E160" s="3" t="s">
        <v>15</v>
      </c>
      <c r="F160" s="2" t="s">
        <v>28</v>
      </c>
      <c r="G160" s="2"/>
      <c r="H160" s="4"/>
      <c r="I160" s="5"/>
      <c r="J160" s="5"/>
    </row>
    <row r="161" spans="1:10" x14ac:dyDescent="0.3">
      <c r="A161" s="10">
        <v>1937</v>
      </c>
      <c r="B161" s="11" t="s">
        <v>435</v>
      </c>
      <c r="C161" s="12" t="s">
        <v>436</v>
      </c>
      <c r="D161" s="13" t="s">
        <v>437</v>
      </c>
      <c r="E161" s="3" t="s">
        <v>50</v>
      </c>
      <c r="F161" s="2"/>
      <c r="G161" s="2" t="s">
        <v>898</v>
      </c>
      <c r="H161" s="4">
        <v>3</v>
      </c>
      <c r="I161" s="5" t="s">
        <v>256</v>
      </c>
      <c r="J161" s="5" t="s">
        <v>87</v>
      </c>
    </row>
    <row r="162" spans="1:10" x14ac:dyDescent="0.3">
      <c r="A162" s="10">
        <v>1937</v>
      </c>
      <c r="B162" s="11" t="s">
        <v>438</v>
      </c>
      <c r="C162" s="12" t="s">
        <v>26</v>
      </c>
      <c r="D162" s="13" t="s">
        <v>439</v>
      </c>
      <c r="E162" s="3" t="s">
        <v>15</v>
      </c>
      <c r="F162" s="2" t="s">
        <v>28</v>
      </c>
      <c r="G162" s="2"/>
      <c r="H162" s="4"/>
      <c r="I162" s="5"/>
      <c r="J162" s="5"/>
    </row>
    <row r="163" spans="1:10" x14ac:dyDescent="0.3">
      <c r="A163" s="10">
        <v>1937</v>
      </c>
      <c r="B163" s="11" t="s">
        <v>440</v>
      </c>
      <c r="C163" s="12" t="s">
        <v>45</v>
      </c>
      <c r="D163" s="13" t="s">
        <v>441</v>
      </c>
      <c r="E163" s="3" t="s">
        <v>15</v>
      </c>
      <c r="F163" s="2" t="s">
        <v>28</v>
      </c>
      <c r="G163" s="2"/>
      <c r="H163" s="4"/>
      <c r="I163" s="5"/>
      <c r="J163" s="5"/>
    </row>
    <row r="164" spans="1:10" x14ac:dyDescent="0.3">
      <c r="A164" s="10">
        <v>1937</v>
      </c>
      <c r="B164" s="11" t="s">
        <v>442</v>
      </c>
      <c r="C164" s="12" t="s">
        <v>45</v>
      </c>
      <c r="D164" s="13" t="s">
        <v>443</v>
      </c>
      <c r="E164" s="3" t="s">
        <v>15</v>
      </c>
      <c r="F164" s="2" t="s">
        <v>28</v>
      </c>
      <c r="G164" s="2"/>
      <c r="H164" s="4"/>
      <c r="I164" s="5"/>
      <c r="J164" s="5"/>
    </row>
    <row r="165" spans="1:10" x14ac:dyDescent="0.3">
      <c r="A165" s="10" t="s">
        <v>444</v>
      </c>
      <c r="B165" s="11" t="s">
        <v>445</v>
      </c>
      <c r="C165" s="12" t="s">
        <v>26</v>
      </c>
      <c r="D165" s="13" t="s">
        <v>446</v>
      </c>
      <c r="E165" s="3" t="s">
        <v>15</v>
      </c>
      <c r="F165" s="2" t="s">
        <v>28</v>
      </c>
      <c r="G165" s="2"/>
      <c r="H165" s="4"/>
      <c r="I165" s="5"/>
      <c r="J165" s="5"/>
    </row>
    <row r="166" spans="1:10" x14ac:dyDescent="0.3">
      <c r="A166" s="10">
        <v>1938</v>
      </c>
      <c r="B166" s="11" t="s">
        <v>447</v>
      </c>
      <c r="C166" s="12" t="s">
        <v>448</v>
      </c>
      <c r="D166" s="13" t="s">
        <v>449</v>
      </c>
      <c r="E166" s="3" t="s">
        <v>50</v>
      </c>
      <c r="F166" s="2"/>
      <c r="G166" s="2" t="s">
        <v>898</v>
      </c>
      <c r="H166" s="4">
        <v>3</v>
      </c>
      <c r="I166" s="5" t="s">
        <v>256</v>
      </c>
      <c r="J166" s="5" t="s">
        <v>51</v>
      </c>
    </row>
    <row r="167" spans="1:10" x14ac:dyDescent="0.3">
      <c r="A167" s="10">
        <v>1938</v>
      </c>
      <c r="B167" s="11" t="s">
        <v>450</v>
      </c>
      <c r="C167" s="12" t="s">
        <v>448</v>
      </c>
      <c r="D167" s="13" t="s">
        <v>451</v>
      </c>
      <c r="E167" s="3" t="s">
        <v>50</v>
      </c>
      <c r="F167" s="2"/>
      <c r="G167" s="2" t="s">
        <v>898</v>
      </c>
      <c r="H167" s="4">
        <v>3</v>
      </c>
      <c r="I167" s="5" t="s">
        <v>256</v>
      </c>
      <c r="J167" s="5" t="s">
        <v>51</v>
      </c>
    </row>
    <row r="168" spans="1:10" x14ac:dyDescent="0.3">
      <c r="A168" s="10">
        <v>1938</v>
      </c>
      <c r="B168" s="11" t="s">
        <v>452</v>
      </c>
      <c r="C168" s="12" t="s">
        <v>448</v>
      </c>
      <c r="D168" s="13" t="s">
        <v>453</v>
      </c>
      <c r="E168" s="3" t="s">
        <v>50</v>
      </c>
      <c r="F168" s="2"/>
      <c r="G168" s="2" t="s">
        <v>898</v>
      </c>
      <c r="H168" s="4">
        <v>3</v>
      </c>
      <c r="I168" s="5" t="s">
        <v>256</v>
      </c>
      <c r="J168" s="5" t="s">
        <v>132</v>
      </c>
    </row>
    <row r="169" spans="1:10" x14ac:dyDescent="0.3">
      <c r="A169" s="10">
        <v>1938</v>
      </c>
      <c r="B169" s="11" t="s">
        <v>454</v>
      </c>
      <c r="C169" s="12" t="s">
        <v>406</v>
      </c>
      <c r="D169" s="13" t="s">
        <v>455</v>
      </c>
      <c r="E169" s="3" t="s">
        <v>50</v>
      </c>
      <c r="F169" s="2"/>
      <c r="G169" s="2" t="s">
        <v>897</v>
      </c>
      <c r="H169" s="4">
        <v>1</v>
      </c>
      <c r="I169" s="5" t="s">
        <v>408</v>
      </c>
      <c r="J169" s="5" t="s">
        <v>51</v>
      </c>
    </row>
    <row r="170" spans="1:10" x14ac:dyDescent="0.3">
      <c r="A170" s="10">
        <v>1938</v>
      </c>
      <c r="B170" s="11" t="s">
        <v>456</v>
      </c>
      <c r="C170" s="12" t="s">
        <v>388</v>
      </c>
      <c r="D170" s="13" t="s">
        <v>457</v>
      </c>
      <c r="E170" s="3" t="s">
        <v>50</v>
      </c>
      <c r="F170" s="2"/>
      <c r="G170" s="2" t="s">
        <v>897</v>
      </c>
      <c r="H170" s="4">
        <v>3</v>
      </c>
      <c r="I170" s="5" t="s">
        <v>99</v>
      </c>
      <c r="J170" s="5" t="s">
        <v>51</v>
      </c>
    </row>
    <row r="171" spans="1:10" x14ac:dyDescent="0.3">
      <c r="A171" s="10">
        <v>1938</v>
      </c>
      <c r="B171" s="11" t="s">
        <v>458</v>
      </c>
      <c r="C171" s="12" t="s">
        <v>388</v>
      </c>
      <c r="D171" s="13" t="s">
        <v>459</v>
      </c>
      <c r="E171" s="3" t="s">
        <v>50</v>
      </c>
      <c r="F171" s="2"/>
      <c r="G171" s="2" t="s">
        <v>897</v>
      </c>
      <c r="H171" s="4">
        <v>3</v>
      </c>
      <c r="I171" s="5" t="s">
        <v>99</v>
      </c>
      <c r="J171" s="5" t="s">
        <v>51</v>
      </c>
    </row>
    <row r="172" spans="1:10" x14ac:dyDescent="0.3">
      <c r="A172" s="10">
        <v>1938</v>
      </c>
      <c r="B172" s="11" t="s">
        <v>460</v>
      </c>
      <c r="C172" s="12" t="s">
        <v>388</v>
      </c>
      <c r="D172" s="13" t="s">
        <v>461</v>
      </c>
      <c r="E172" s="3" t="s">
        <v>50</v>
      </c>
      <c r="F172" s="2"/>
      <c r="G172" s="2" t="s">
        <v>898</v>
      </c>
      <c r="H172" s="4">
        <v>3</v>
      </c>
      <c r="I172" s="5" t="s">
        <v>99</v>
      </c>
      <c r="J172" s="5" t="s">
        <v>51</v>
      </c>
    </row>
    <row r="173" spans="1:10" x14ac:dyDescent="0.3">
      <c r="A173" s="10">
        <v>1938</v>
      </c>
      <c r="B173" s="11" t="s">
        <v>462</v>
      </c>
      <c r="C173" s="12" t="s">
        <v>103</v>
      </c>
      <c r="D173" s="13" t="s">
        <v>463</v>
      </c>
      <c r="E173" s="3" t="s">
        <v>50</v>
      </c>
      <c r="F173" s="2"/>
      <c r="G173" s="2" t="s">
        <v>898</v>
      </c>
      <c r="H173" s="4">
        <v>3</v>
      </c>
      <c r="I173" s="5" t="s">
        <v>99</v>
      </c>
      <c r="J173" s="5" t="s">
        <v>51</v>
      </c>
    </row>
    <row r="174" spans="1:10" x14ac:dyDescent="0.3">
      <c r="A174" s="10">
        <v>1938</v>
      </c>
      <c r="B174" s="11" t="s">
        <v>464</v>
      </c>
      <c r="C174" s="12" t="s">
        <v>26</v>
      </c>
      <c r="D174" s="13" t="s">
        <v>465</v>
      </c>
      <c r="E174" s="3" t="s">
        <v>15</v>
      </c>
      <c r="F174" s="2" t="s">
        <v>28</v>
      </c>
      <c r="G174" s="2"/>
      <c r="H174" s="4"/>
      <c r="I174" s="5"/>
      <c r="J174" s="5"/>
    </row>
    <row r="175" spans="1:10" x14ac:dyDescent="0.3">
      <c r="A175" s="10">
        <v>1939</v>
      </c>
      <c r="B175" s="11" t="s">
        <v>466</v>
      </c>
      <c r="C175" s="12" t="s">
        <v>467</v>
      </c>
      <c r="D175" s="13" t="s">
        <v>468</v>
      </c>
      <c r="E175" s="3" t="s">
        <v>50</v>
      </c>
      <c r="F175" s="2"/>
      <c r="G175" s="2" t="s">
        <v>898</v>
      </c>
      <c r="H175" s="4">
        <v>3</v>
      </c>
      <c r="I175" s="5" t="s">
        <v>256</v>
      </c>
      <c r="J175" s="5" t="s">
        <v>132</v>
      </c>
    </row>
    <row r="176" spans="1:10" x14ac:dyDescent="0.3">
      <c r="A176" s="10">
        <v>1939</v>
      </c>
      <c r="B176" s="11" t="s">
        <v>469</v>
      </c>
      <c r="C176" s="12" t="s">
        <v>26</v>
      </c>
      <c r="D176" s="13" t="s">
        <v>470</v>
      </c>
      <c r="E176" s="3" t="s">
        <v>15</v>
      </c>
      <c r="F176" s="2" t="s">
        <v>28</v>
      </c>
      <c r="G176" s="2"/>
      <c r="H176" s="4"/>
      <c r="I176" s="5"/>
      <c r="J176" s="5"/>
    </row>
    <row r="177" spans="1:10" x14ac:dyDescent="0.3">
      <c r="A177" s="10">
        <v>1939</v>
      </c>
      <c r="B177" s="11" t="s">
        <v>471</v>
      </c>
      <c r="C177" s="12" t="s">
        <v>68</v>
      </c>
      <c r="D177" s="13" t="s">
        <v>472</v>
      </c>
      <c r="E177" s="3" t="s">
        <v>50</v>
      </c>
      <c r="F177" s="2"/>
      <c r="G177" s="2" t="s">
        <v>897</v>
      </c>
      <c r="H177" s="4">
        <v>1</v>
      </c>
      <c r="I177" s="5" t="s">
        <v>51</v>
      </c>
      <c r="J177" s="5" t="s">
        <v>51</v>
      </c>
    </row>
    <row r="178" spans="1:10" x14ac:dyDescent="0.3">
      <c r="A178" s="10">
        <v>1939</v>
      </c>
      <c r="B178" s="11" t="s">
        <v>473</v>
      </c>
      <c r="C178" s="12" t="s">
        <v>474</v>
      </c>
      <c r="D178" s="13" t="s">
        <v>475</v>
      </c>
      <c r="E178" s="3" t="s">
        <v>50</v>
      </c>
      <c r="F178" s="2"/>
      <c r="G178" s="2" t="s">
        <v>897</v>
      </c>
      <c r="H178" s="4">
        <v>1</v>
      </c>
      <c r="I178" s="5" t="s">
        <v>51</v>
      </c>
      <c r="J178" s="5" t="s">
        <v>51</v>
      </c>
    </row>
    <row r="179" spans="1:10" x14ac:dyDescent="0.3">
      <c r="A179" s="10">
        <v>1939</v>
      </c>
      <c r="B179" s="11" t="s">
        <v>476</v>
      </c>
      <c r="C179" s="12" t="s">
        <v>477</v>
      </c>
      <c r="D179" s="13" t="s">
        <v>478</v>
      </c>
      <c r="E179" s="3" t="s">
        <v>50</v>
      </c>
      <c r="F179" s="2"/>
      <c r="G179" s="2" t="s">
        <v>898</v>
      </c>
      <c r="H179" s="4">
        <v>3</v>
      </c>
      <c r="I179" s="5" t="s">
        <v>111</v>
      </c>
      <c r="J179" s="5" t="s">
        <v>99</v>
      </c>
    </row>
    <row r="180" spans="1:10" x14ac:dyDescent="0.3">
      <c r="A180" s="10">
        <v>1939</v>
      </c>
      <c r="B180" s="11" t="s">
        <v>479</v>
      </c>
      <c r="C180" s="12" t="s">
        <v>480</v>
      </c>
      <c r="D180" s="13" t="s">
        <v>481</v>
      </c>
      <c r="E180" s="3" t="s">
        <v>50</v>
      </c>
      <c r="F180" s="2"/>
      <c r="G180" s="2" t="s">
        <v>897</v>
      </c>
      <c r="H180" s="4">
        <v>1</v>
      </c>
      <c r="I180" s="5" t="s">
        <v>408</v>
      </c>
      <c r="J180" s="5" t="s">
        <v>51</v>
      </c>
    </row>
    <row r="181" spans="1:10" x14ac:dyDescent="0.3">
      <c r="A181" s="10">
        <v>1939</v>
      </c>
      <c r="B181" s="11" t="s">
        <v>482</v>
      </c>
      <c r="C181" s="12" t="s">
        <v>109</v>
      </c>
      <c r="D181" s="13" t="s">
        <v>483</v>
      </c>
      <c r="E181" s="3" t="s">
        <v>50</v>
      </c>
      <c r="F181" s="2"/>
      <c r="G181" s="2" t="s">
        <v>898</v>
      </c>
      <c r="H181" s="4">
        <v>3</v>
      </c>
      <c r="I181" s="5" t="s">
        <v>111</v>
      </c>
      <c r="J181" s="5" t="s">
        <v>51</v>
      </c>
    </row>
    <row r="182" spans="1:10" x14ac:dyDescent="0.3">
      <c r="A182" s="10">
        <v>1939</v>
      </c>
      <c r="B182" s="11" t="s">
        <v>484</v>
      </c>
      <c r="C182" s="12" t="s">
        <v>485</v>
      </c>
      <c r="D182" s="13" t="s">
        <v>486</v>
      </c>
      <c r="E182" s="3" t="s">
        <v>50</v>
      </c>
      <c r="F182" s="2"/>
      <c r="G182" s="2" t="s">
        <v>898</v>
      </c>
      <c r="H182" s="4">
        <v>1</v>
      </c>
      <c r="I182" s="5" t="s">
        <v>51</v>
      </c>
      <c r="J182" s="5" t="s">
        <v>51</v>
      </c>
    </row>
    <row r="183" spans="1:10" x14ac:dyDescent="0.3">
      <c r="A183" s="10">
        <v>1941</v>
      </c>
      <c r="B183" s="11" t="s">
        <v>487</v>
      </c>
      <c r="C183" s="12" t="s">
        <v>26</v>
      </c>
      <c r="D183" s="13" t="s">
        <v>488</v>
      </c>
      <c r="E183" s="3" t="s">
        <v>15</v>
      </c>
      <c r="F183" s="2" t="s">
        <v>28</v>
      </c>
      <c r="G183" s="2"/>
      <c r="H183" s="4"/>
      <c r="I183" s="5"/>
      <c r="J183" s="5"/>
    </row>
    <row r="184" spans="1:10" x14ac:dyDescent="0.3">
      <c r="A184" s="10">
        <v>1941</v>
      </c>
      <c r="B184" s="11" t="s">
        <v>489</v>
      </c>
      <c r="C184" s="12" t="s">
        <v>26</v>
      </c>
      <c r="D184" s="13" t="s">
        <v>490</v>
      </c>
      <c r="E184" s="3" t="s">
        <v>15</v>
      </c>
      <c r="F184" s="2" t="s">
        <v>28</v>
      </c>
      <c r="G184" s="2"/>
      <c r="H184" s="4"/>
      <c r="I184" s="5"/>
      <c r="J184" s="5"/>
    </row>
    <row r="185" spans="1:10" x14ac:dyDescent="0.3">
      <c r="A185" s="10">
        <v>1942</v>
      </c>
      <c r="B185" s="11" t="s">
        <v>491</v>
      </c>
      <c r="C185" s="12" t="s">
        <v>492</v>
      </c>
      <c r="D185" s="13" t="s">
        <v>493</v>
      </c>
      <c r="E185" s="3" t="s">
        <v>50</v>
      </c>
      <c r="F185" s="2"/>
      <c r="G185" s="2" t="s">
        <v>898</v>
      </c>
      <c r="H185" s="4">
        <v>1</v>
      </c>
      <c r="I185" s="5" t="s">
        <v>408</v>
      </c>
      <c r="J185" s="5" t="s">
        <v>51</v>
      </c>
    </row>
    <row r="186" spans="1:10" x14ac:dyDescent="0.3">
      <c r="A186" s="10">
        <v>1942</v>
      </c>
      <c r="B186" s="11" t="s">
        <v>494</v>
      </c>
      <c r="C186" s="12" t="s">
        <v>374</v>
      </c>
      <c r="D186" s="13" t="s">
        <v>495</v>
      </c>
      <c r="E186" s="3" t="s">
        <v>50</v>
      </c>
      <c r="F186" s="2"/>
      <c r="G186" s="2" t="s">
        <v>898</v>
      </c>
      <c r="H186" s="4">
        <v>3</v>
      </c>
      <c r="I186" s="5" t="s">
        <v>256</v>
      </c>
      <c r="J186" s="5" t="s">
        <v>132</v>
      </c>
    </row>
    <row r="187" spans="1:10" x14ac:dyDescent="0.3">
      <c r="A187" s="10">
        <v>1942</v>
      </c>
      <c r="B187" s="11" t="s">
        <v>496</v>
      </c>
      <c r="C187" s="12" t="s">
        <v>138</v>
      </c>
      <c r="D187" s="13" t="s">
        <v>497</v>
      </c>
      <c r="E187" s="3" t="s">
        <v>15</v>
      </c>
      <c r="F187" s="2" t="s">
        <v>28</v>
      </c>
      <c r="G187" s="2"/>
      <c r="H187" s="4"/>
      <c r="I187" s="5"/>
      <c r="J187" s="5"/>
    </row>
    <row r="188" spans="1:10" x14ac:dyDescent="0.3">
      <c r="A188" s="10">
        <v>1942</v>
      </c>
      <c r="B188" s="11" t="s">
        <v>498</v>
      </c>
      <c r="C188" s="12" t="s">
        <v>138</v>
      </c>
      <c r="D188" s="13" t="s">
        <v>499</v>
      </c>
      <c r="E188" s="3" t="s">
        <v>15</v>
      </c>
      <c r="F188" s="2" t="s">
        <v>28</v>
      </c>
      <c r="G188" s="2"/>
      <c r="H188" s="4"/>
      <c r="I188" s="5"/>
      <c r="J188" s="5"/>
    </row>
    <row r="189" spans="1:10" x14ac:dyDescent="0.3">
      <c r="A189" s="10">
        <v>1942</v>
      </c>
      <c r="B189" s="11" t="s">
        <v>500</v>
      </c>
      <c r="C189" s="12" t="s">
        <v>138</v>
      </c>
      <c r="D189" s="13" t="s">
        <v>501</v>
      </c>
      <c r="E189" s="3" t="s">
        <v>15</v>
      </c>
      <c r="F189" s="2" t="s">
        <v>28</v>
      </c>
      <c r="G189" s="2"/>
      <c r="H189" s="4"/>
      <c r="I189" s="5"/>
      <c r="J189" s="5"/>
    </row>
    <row r="190" spans="1:10" x14ac:dyDescent="0.3">
      <c r="A190" s="10">
        <v>1943</v>
      </c>
      <c r="B190" s="11" t="s">
        <v>502</v>
      </c>
      <c r="C190" s="12" t="s">
        <v>45</v>
      </c>
      <c r="D190" s="13" t="s">
        <v>503</v>
      </c>
      <c r="E190" s="3" t="s">
        <v>15</v>
      </c>
      <c r="F190" s="2" t="s">
        <v>28</v>
      </c>
      <c r="G190" s="2"/>
      <c r="H190" s="4"/>
      <c r="I190" s="5"/>
      <c r="J190" s="5"/>
    </row>
    <row r="191" spans="1:10" x14ac:dyDescent="0.3">
      <c r="A191" s="10">
        <v>1943</v>
      </c>
      <c r="B191" s="11" t="s">
        <v>504</v>
      </c>
      <c r="C191" s="12" t="s">
        <v>505</v>
      </c>
      <c r="D191" s="13" t="s">
        <v>506</v>
      </c>
      <c r="E191" s="3" t="s">
        <v>15</v>
      </c>
      <c r="F191" s="2" t="s">
        <v>28</v>
      </c>
      <c r="G191" s="2"/>
      <c r="H191" s="4"/>
      <c r="I191" s="5"/>
      <c r="J191" s="5"/>
    </row>
    <row r="192" spans="1:10" x14ac:dyDescent="0.3">
      <c r="A192" s="10">
        <v>1944</v>
      </c>
      <c r="B192" s="11" t="s">
        <v>507</v>
      </c>
      <c r="C192" s="12" t="s">
        <v>26</v>
      </c>
      <c r="D192" s="13" t="s">
        <v>508</v>
      </c>
      <c r="E192" s="3" t="s">
        <v>15</v>
      </c>
      <c r="F192" s="2" t="s">
        <v>28</v>
      </c>
      <c r="G192" s="2"/>
      <c r="H192" s="4"/>
      <c r="I192" s="5"/>
      <c r="J192" s="5"/>
    </row>
    <row r="193" spans="1:10" x14ac:dyDescent="0.3">
      <c r="A193" s="10">
        <v>1944</v>
      </c>
      <c r="B193" s="11" t="s">
        <v>509</v>
      </c>
      <c r="C193" s="12" t="s">
        <v>510</v>
      </c>
      <c r="D193" s="13" t="s">
        <v>511</v>
      </c>
      <c r="E193" s="3" t="s">
        <v>15</v>
      </c>
      <c r="F193" s="2" t="s">
        <v>16</v>
      </c>
      <c r="G193" s="2"/>
      <c r="H193" s="4"/>
      <c r="I193" s="5"/>
      <c r="J193" s="5"/>
    </row>
    <row r="194" spans="1:10" x14ac:dyDescent="0.3">
      <c r="A194" s="10">
        <v>1945</v>
      </c>
      <c r="B194" s="11" t="s">
        <v>512</v>
      </c>
      <c r="C194" s="12" t="s">
        <v>331</v>
      </c>
      <c r="D194" s="13" t="s">
        <v>513</v>
      </c>
      <c r="E194" s="3" t="s">
        <v>50</v>
      </c>
      <c r="F194" s="2"/>
      <c r="G194" s="2" t="s">
        <v>898</v>
      </c>
      <c r="H194" s="4">
        <v>3</v>
      </c>
      <c r="I194" s="5" t="s">
        <v>256</v>
      </c>
      <c r="J194" s="5" t="s">
        <v>99</v>
      </c>
    </row>
    <row r="195" spans="1:10" x14ac:dyDescent="0.3">
      <c r="A195" s="10">
        <v>1945</v>
      </c>
      <c r="B195" s="11" t="s">
        <v>514</v>
      </c>
      <c r="C195" s="12" t="s">
        <v>331</v>
      </c>
      <c r="D195" s="13" t="s">
        <v>515</v>
      </c>
      <c r="E195" s="3" t="s">
        <v>50</v>
      </c>
      <c r="F195" s="2"/>
      <c r="G195" s="2" t="s">
        <v>898</v>
      </c>
      <c r="H195" s="4">
        <v>3</v>
      </c>
      <c r="I195" s="5" t="s">
        <v>256</v>
      </c>
      <c r="J195" s="5" t="s">
        <v>51</v>
      </c>
    </row>
    <row r="196" spans="1:10" x14ac:dyDescent="0.3">
      <c r="A196" s="10">
        <v>1945</v>
      </c>
      <c r="B196" s="11" t="s">
        <v>516</v>
      </c>
      <c r="C196" s="12" t="s">
        <v>26</v>
      </c>
      <c r="D196" s="13" t="s">
        <v>517</v>
      </c>
      <c r="E196" s="3" t="s">
        <v>15</v>
      </c>
      <c r="F196" s="2" t="s">
        <v>28</v>
      </c>
      <c r="G196" s="2"/>
      <c r="H196" s="4"/>
      <c r="I196" s="5"/>
      <c r="J196" s="5"/>
    </row>
    <row r="197" spans="1:10" x14ac:dyDescent="0.3">
      <c r="A197" s="10">
        <v>1945</v>
      </c>
      <c r="B197" s="11" t="s">
        <v>518</v>
      </c>
      <c r="C197" s="12" t="s">
        <v>331</v>
      </c>
      <c r="D197" s="13" t="s">
        <v>519</v>
      </c>
      <c r="E197" s="3" t="s">
        <v>50</v>
      </c>
      <c r="F197" s="2"/>
      <c r="G197" s="2" t="s">
        <v>898</v>
      </c>
      <c r="H197" s="4">
        <v>3</v>
      </c>
      <c r="I197" s="5" t="s">
        <v>256</v>
      </c>
      <c r="J197" s="5" t="s">
        <v>132</v>
      </c>
    </row>
    <row r="198" spans="1:10" x14ac:dyDescent="0.3">
      <c r="A198" s="10">
        <v>1946</v>
      </c>
      <c r="B198" s="11" t="s">
        <v>520</v>
      </c>
      <c r="C198" s="12" t="s">
        <v>109</v>
      </c>
      <c r="D198" s="13" t="s">
        <v>521</v>
      </c>
      <c r="E198" s="3" t="s">
        <v>50</v>
      </c>
      <c r="F198" s="2"/>
      <c r="G198" s="2" t="s">
        <v>898</v>
      </c>
      <c r="H198" s="4">
        <v>3</v>
      </c>
      <c r="I198" s="5" t="s">
        <v>111</v>
      </c>
      <c r="J198" s="5" t="s">
        <v>111</v>
      </c>
    </row>
    <row r="199" spans="1:10" x14ac:dyDescent="0.3">
      <c r="A199" s="10">
        <v>1946</v>
      </c>
      <c r="B199" s="11" t="s">
        <v>522</v>
      </c>
      <c r="C199" s="12" t="s">
        <v>109</v>
      </c>
      <c r="D199" s="13" t="s">
        <v>523</v>
      </c>
      <c r="E199" s="3" t="s">
        <v>50</v>
      </c>
      <c r="F199" s="2"/>
      <c r="G199" s="2" t="s">
        <v>898</v>
      </c>
      <c r="H199" s="4">
        <v>3</v>
      </c>
      <c r="I199" s="5" t="s">
        <v>111</v>
      </c>
      <c r="J199" s="5" t="s">
        <v>168</v>
      </c>
    </row>
    <row r="200" spans="1:10" x14ac:dyDescent="0.3">
      <c r="A200" s="10">
        <v>1946</v>
      </c>
      <c r="B200" s="11" t="s">
        <v>524</v>
      </c>
      <c r="C200" s="12" t="s">
        <v>109</v>
      </c>
      <c r="D200" s="13" t="s">
        <v>525</v>
      </c>
      <c r="E200" s="3" t="s">
        <v>50</v>
      </c>
      <c r="F200" s="2"/>
      <c r="G200" s="2" t="s">
        <v>898</v>
      </c>
      <c r="H200" s="4">
        <v>3</v>
      </c>
      <c r="I200" s="5" t="s">
        <v>111</v>
      </c>
      <c r="J200" s="5" t="s">
        <v>230</v>
      </c>
    </row>
    <row r="201" spans="1:10" x14ac:dyDescent="0.3">
      <c r="A201" s="10">
        <v>1946</v>
      </c>
      <c r="B201" s="11" t="s">
        <v>526</v>
      </c>
      <c r="C201" s="12" t="s">
        <v>109</v>
      </c>
      <c r="D201" s="13" t="s">
        <v>527</v>
      </c>
      <c r="E201" s="3" t="s">
        <v>50</v>
      </c>
      <c r="F201" s="2"/>
      <c r="G201" s="2" t="s">
        <v>898</v>
      </c>
      <c r="H201" s="4">
        <v>3</v>
      </c>
      <c r="I201" s="5" t="s">
        <v>111</v>
      </c>
      <c r="J201" s="5" t="s">
        <v>230</v>
      </c>
    </row>
    <row r="202" spans="1:10" x14ac:dyDescent="0.3">
      <c r="A202" s="10">
        <v>1947</v>
      </c>
      <c r="B202" s="11" t="s">
        <v>528</v>
      </c>
      <c r="C202" s="12" t="s">
        <v>68</v>
      </c>
      <c r="D202" s="13" t="s">
        <v>529</v>
      </c>
      <c r="E202" s="3" t="s">
        <v>50</v>
      </c>
      <c r="F202" s="2"/>
      <c r="G202" s="2" t="s">
        <v>897</v>
      </c>
      <c r="H202" s="4">
        <v>1</v>
      </c>
      <c r="I202" s="5" t="s">
        <v>51</v>
      </c>
      <c r="J202" s="5" t="s">
        <v>51</v>
      </c>
    </row>
    <row r="203" spans="1:10" x14ac:dyDescent="0.3">
      <c r="A203" s="10">
        <v>1947</v>
      </c>
      <c r="B203" s="11" t="s">
        <v>530</v>
      </c>
      <c r="C203" s="12" t="s">
        <v>68</v>
      </c>
      <c r="D203" s="13" t="s">
        <v>531</v>
      </c>
      <c r="E203" s="3" t="s">
        <v>50</v>
      </c>
      <c r="F203" s="2"/>
      <c r="G203" s="2" t="s">
        <v>897</v>
      </c>
      <c r="H203" s="4">
        <v>1</v>
      </c>
      <c r="I203" s="5" t="s">
        <v>51</v>
      </c>
      <c r="J203" s="5" t="s">
        <v>51</v>
      </c>
    </row>
    <row r="204" spans="1:10" x14ac:dyDescent="0.3">
      <c r="A204" s="10">
        <v>1947</v>
      </c>
      <c r="B204" s="11" t="s">
        <v>532</v>
      </c>
      <c r="C204" s="12" t="s">
        <v>533</v>
      </c>
      <c r="D204" s="13" t="s">
        <v>534</v>
      </c>
      <c r="E204" s="3" t="s">
        <v>50</v>
      </c>
      <c r="F204" s="2"/>
      <c r="G204" s="2" t="s">
        <v>898</v>
      </c>
      <c r="H204" s="4">
        <v>3</v>
      </c>
      <c r="I204" s="5" t="s">
        <v>256</v>
      </c>
      <c r="J204" s="5" t="s">
        <v>132</v>
      </c>
    </row>
    <row r="205" spans="1:10" x14ac:dyDescent="0.3">
      <c r="A205" s="10">
        <v>1947</v>
      </c>
      <c r="B205" s="11" t="s">
        <v>535</v>
      </c>
      <c r="C205" s="12" t="s">
        <v>536</v>
      </c>
      <c r="D205" s="13" t="s">
        <v>537</v>
      </c>
      <c r="E205" s="3" t="s">
        <v>50</v>
      </c>
      <c r="F205" s="2"/>
      <c r="G205" s="2" t="s">
        <v>898</v>
      </c>
      <c r="H205" s="4">
        <v>1</v>
      </c>
      <c r="I205" s="5" t="s">
        <v>408</v>
      </c>
      <c r="J205" s="5" t="s">
        <v>87</v>
      </c>
    </row>
    <row r="206" spans="1:10" x14ac:dyDescent="0.3">
      <c r="A206" s="10">
        <v>1947</v>
      </c>
      <c r="B206" s="11" t="s">
        <v>538</v>
      </c>
      <c r="C206" s="12" t="s">
        <v>26</v>
      </c>
      <c r="D206" s="13" t="s">
        <v>539</v>
      </c>
      <c r="E206" s="3" t="s">
        <v>15</v>
      </c>
      <c r="F206" s="2" t="s">
        <v>28</v>
      </c>
      <c r="G206" s="2"/>
      <c r="H206" s="4"/>
      <c r="I206" s="5"/>
      <c r="J206" s="5"/>
    </row>
    <row r="207" spans="1:10" x14ac:dyDescent="0.3">
      <c r="A207" s="10">
        <v>1947</v>
      </c>
      <c r="B207" s="11" t="s">
        <v>540</v>
      </c>
      <c r="C207" s="12" t="s">
        <v>541</v>
      </c>
      <c r="D207" s="13" t="s">
        <v>542</v>
      </c>
      <c r="E207" s="3" t="s">
        <v>15</v>
      </c>
      <c r="F207" s="2" t="s">
        <v>28</v>
      </c>
      <c r="G207" s="2"/>
      <c r="H207" s="4"/>
      <c r="I207" s="5"/>
      <c r="J207" s="5"/>
    </row>
    <row r="208" spans="1:10" x14ac:dyDescent="0.3">
      <c r="A208" s="10">
        <v>1948</v>
      </c>
      <c r="B208" s="11" t="s">
        <v>543</v>
      </c>
      <c r="C208" s="12" t="s">
        <v>26</v>
      </c>
      <c r="D208" s="13" t="s">
        <v>544</v>
      </c>
      <c r="E208" s="3" t="s">
        <v>15</v>
      </c>
      <c r="F208" s="2" t="s">
        <v>28</v>
      </c>
      <c r="G208" s="2"/>
      <c r="H208" s="4"/>
      <c r="I208" s="5"/>
      <c r="J208" s="5"/>
    </row>
    <row r="209" spans="1:10" x14ac:dyDescent="0.3">
      <c r="A209" s="10" t="s">
        <v>545</v>
      </c>
      <c r="B209" s="11" t="s">
        <v>546</v>
      </c>
      <c r="C209" s="12" t="s">
        <v>547</v>
      </c>
      <c r="D209" s="13" t="s">
        <v>548</v>
      </c>
      <c r="E209" s="3" t="s">
        <v>50</v>
      </c>
      <c r="F209" s="2"/>
      <c r="G209" s="2" t="s">
        <v>898</v>
      </c>
      <c r="H209" s="4">
        <v>3</v>
      </c>
      <c r="I209" s="5" t="s">
        <v>256</v>
      </c>
      <c r="J209" s="5" t="s">
        <v>51</v>
      </c>
    </row>
    <row r="210" spans="1:10" x14ac:dyDescent="0.3">
      <c r="A210" s="10">
        <v>1950</v>
      </c>
      <c r="B210" s="11" t="s">
        <v>549</v>
      </c>
      <c r="C210" s="12" t="s">
        <v>397</v>
      </c>
      <c r="D210" s="13" t="s">
        <v>550</v>
      </c>
      <c r="E210" s="3" t="s">
        <v>50</v>
      </c>
      <c r="F210" s="2"/>
      <c r="G210" s="2" t="s">
        <v>898</v>
      </c>
      <c r="H210" s="4">
        <v>3</v>
      </c>
      <c r="I210" s="5" t="s">
        <v>168</v>
      </c>
      <c r="J210" s="5" t="s">
        <v>51</v>
      </c>
    </row>
    <row r="211" spans="1:10" x14ac:dyDescent="0.3">
      <c r="A211" s="10">
        <v>1950</v>
      </c>
      <c r="B211" s="11" t="s">
        <v>551</v>
      </c>
      <c r="C211" s="12" t="s">
        <v>26</v>
      </c>
      <c r="D211" s="13" t="s">
        <v>552</v>
      </c>
      <c r="E211" s="3" t="s">
        <v>15</v>
      </c>
      <c r="F211" s="2" t="s">
        <v>28</v>
      </c>
      <c r="G211" s="2"/>
      <c r="H211" s="4"/>
      <c r="I211" s="5"/>
      <c r="J211" s="5"/>
    </row>
    <row r="212" spans="1:10" x14ac:dyDescent="0.3">
      <c r="A212" s="10">
        <v>1952</v>
      </c>
      <c r="B212" s="11" t="s">
        <v>553</v>
      </c>
      <c r="C212" s="12" t="s">
        <v>26</v>
      </c>
      <c r="D212" s="13" t="s">
        <v>554</v>
      </c>
      <c r="E212" s="3" t="s">
        <v>15</v>
      </c>
      <c r="F212" s="2" t="s">
        <v>28</v>
      </c>
      <c r="G212" s="2"/>
      <c r="H212" s="4"/>
      <c r="I212" s="5"/>
      <c r="J212" s="5"/>
    </row>
    <row r="213" spans="1:10" x14ac:dyDescent="0.3">
      <c r="A213" s="10">
        <v>1953</v>
      </c>
      <c r="B213" s="11" t="s">
        <v>555</v>
      </c>
      <c r="C213" s="12" t="s">
        <v>26</v>
      </c>
      <c r="D213" s="13" t="s">
        <v>556</v>
      </c>
      <c r="E213" s="3" t="s">
        <v>15</v>
      </c>
      <c r="F213" s="2" t="s">
        <v>28</v>
      </c>
      <c r="G213" s="2"/>
      <c r="H213" s="4"/>
      <c r="I213" s="5"/>
      <c r="J213" s="5"/>
    </row>
    <row r="214" spans="1:10" x14ac:dyDescent="0.3">
      <c r="A214" s="10">
        <v>1954</v>
      </c>
      <c r="B214" s="11" t="s">
        <v>557</v>
      </c>
      <c r="C214" s="12" t="s">
        <v>26</v>
      </c>
      <c r="D214" s="13" t="s">
        <v>558</v>
      </c>
      <c r="E214" s="3" t="s">
        <v>15</v>
      </c>
      <c r="F214" s="2" t="s">
        <v>28</v>
      </c>
      <c r="G214" s="2"/>
      <c r="H214" s="4"/>
      <c r="I214" s="5"/>
      <c r="J214" s="5"/>
    </row>
    <row r="215" spans="1:10" x14ac:dyDescent="0.3">
      <c r="A215" s="10">
        <v>1954</v>
      </c>
      <c r="B215" s="11" t="s">
        <v>559</v>
      </c>
      <c r="C215" s="12" t="s">
        <v>26</v>
      </c>
      <c r="D215" s="13" t="s">
        <v>560</v>
      </c>
      <c r="E215" s="3" t="s">
        <v>15</v>
      </c>
      <c r="F215" s="2" t="s">
        <v>28</v>
      </c>
      <c r="G215" s="2"/>
      <c r="H215" s="4"/>
      <c r="I215" s="5"/>
      <c r="J215" s="5"/>
    </row>
    <row r="216" spans="1:10" x14ac:dyDescent="0.3">
      <c r="A216" s="10">
        <v>1955</v>
      </c>
      <c r="B216" s="11" t="s">
        <v>561</v>
      </c>
      <c r="C216" s="12" t="s">
        <v>397</v>
      </c>
      <c r="D216" s="13" t="s">
        <v>562</v>
      </c>
      <c r="E216" s="3" t="s">
        <v>50</v>
      </c>
      <c r="F216" s="2"/>
      <c r="G216" s="2" t="s">
        <v>898</v>
      </c>
      <c r="H216" s="4">
        <v>3</v>
      </c>
      <c r="I216" s="5" t="s">
        <v>168</v>
      </c>
      <c r="J216" s="5" t="s">
        <v>51</v>
      </c>
    </row>
    <row r="217" spans="1:10" x14ac:dyDescent="0.3">
      <c r="A217" s="10">
        <v>1955</v>
      </c>
      <c r="B217" s="11" t="s">
        <v>563</v>
      </c>
      <c r="C217" s="12" t="s">
        <v>388</v>
      </c>
      <c r="D217" s="13" t="s">
        <v>564</v>
      </c>
      <c r="E217" s="3" t="s">
        <v>50</v>
      </c>
      <c r="F217" s="2"/>
      <c r="G217" s="2" t="s">
        <v>898</v>
      </c>
      <c r="H217" s="4">
        <v>3</v>
      </c>
      <c r="I217" s="5" t="s">
        <v>99</v>
      </c>
      <c r="J217" s="5" t="s">
        <v>51</v>
      </c>
    </row>
    <row r="218" spans="1:10" x14ac:dyDescent="0.3">
      <c r="A218" s="10">
        <v>1955</v>
      </c>
      <c r="B218" s="11" t="s">
        <v>565</v>
      </c>
      <c r="C218" s="12" t="s">
        <v>566</v>
      </c>
      <c r="D218" s="13" t="s">
        <v>567</v>
      </c>
      <c r="E218" s="3" t="s">
        <v>50</v>
      </c>
      <c r="F218" s="2"/>
      <c r="G218" s="2" t="s">
        <v>898</v>
      </c>
      <c r="H218" s="4">
        <v>1</v>
      </c>
      <c r="I218" s="5" t="s">
        <v>51</v>
      </c>
      <c r="J218" s="5" t="s">
        <v>51</v>
      </c>
    </row>
    <row r="219" spans="1:10" x14ac:dyDescent="0.3">
      <c r="A219" s="10">
        <v>1956</v>
      </c>
      <c r="B219" s="11" t="s">
        <v>568</v>
      </c>
      <c r="C219" s="12" t="s">
        <v>569</v>
      </c>
      <c r="D219" s="13" t="s">
        <v>570</v>
      </c>
      <c r="E219" s="3" t="s">
        <v>50</v>
      </c>
      <c r="F219" s="2"/>
      <c r="G219" s="2" t="s">
        <v>898</v>
      </c>
      <c r="H219" s="4">
        <v>1</v>
      </c>
      <c r="I219" s="5" t="s">
        <v>51</v>
      </c>
      <c r="J219" s="5" t="s">
        <v>99</v>
      </c>
    </row>
    <row r="220" spans="1:10" x14ac:dyDescent="0.3">
      <c r="A220" s="10">
        <v>1956</v>
      </c>
      <c r="B220" s="11" t="s">
        <v>571</v>
      </c>
      <c r="C220" s="12" t="s">
        <v>205</v>
      </c>
      <c r="D220" s="13" t="s">
        <v>572</v>
      </c>
      <c r="E220" s="3" t="s">
        <v>15</v>
      </c>
      <c r="F220" s="2" t="s">
        <v>20</v>
      </c>
      <c r="G220" s="2"/>
      <c r="H220" s="4"/>
      <c r="I220" s="5"/>
      <c r="J220" s="5"/>
    </row>
    <row r="221" spans="1:10" x14ac:dyDescent="0.3">
      <c r="A221" s="10">
        <v>1956</v>
      </c>
      <c r="B221" s="11" t="s">
        <v>573</v>
      </c>
      <c r="C221" s="12" t="s">
        <v>26</v>
      </c>
      <c r="D221" s="13" t="s">
        <v>574</v>
      </c>
      <c r="E221" s="3" t="s">
        <v>15</v>
      </c>
      <c r="F221" s="2" t="s">
        <v>28</v>
      </c>
      <c r="G221" s="2"/>
      <c r="H221" s="4"/>
      <c r="I221" s="5"/>
      <c r="J221" s="5"/>
    </row>
    <row r="222" spans="1:10" x14ac:dyDescent="0.3">
      <c r="A222" s="10">
        <v>1956</v>
      </c>
      <c r="B222" s="11" t="s">
        <v>575</v>
      </c>
      <c r="C222" s="12" t="s">
        <v>474</v>
      </c>
      <c r="D222" s="13" t="s">
        <v>576</v>
      </c>
      <c r="E222" s="3" t="s">
        <v>50</v>
      </c>
      <c r="F222" s="2"/>
      <c r="G222" s="2" t="s">
        <v>897</v>
      </c>
      <c r="H222" s="4">
        <v>1</v>
      </c>
      <c r="I222" s="5" t="s">
        <v>51</v>
      </c>
      <c r="J222" s="5" t="s">
        <v>51</v>
      </c>
    </row>
    <row r="223" spans="1:10" x14ac:dyDescent="0.3">
      <c r="A223" s="10">
        <v>1957</v>
      </c>
      <c r="B223" s="11" t="s">
        <v>577</v>
      </c>
      <c r="C223" s="12" t="s">
        <v>340</v>
      </c>
      <c r="D223" s="13" t="s">
        <v>578</v>
      </c>
      <c r="E223" s="3" t="s">
        <v>50</v>
      </c>
      <c r="F223" s="2"/>
      <c r="G223" s="2" t="s">
        <v>898</v>
      </c>
      <c r="H223" s="4">
        <v>1</v>
      </c>
      <c r="I223" s="5" t="s">
        <v>51</v>
      </c>
      <c r="J223" s="5" t="s">
        <v>51</v>
      </c>
    </row>
    <row r="224" spans="1:10" x14ac:dyDescent="0.3">
      <c r="A224" s="10">
        <v>1959</v>
      </c>
      <c r="B224" s="11" t="s">
        <v>579</v>
      </c>
      <c r="C224" s="12" t="s">
        <v>580</v>
      </c>
      <c r="D224" s="13" t="s">
        <v>581</v>
      </c>
      <c r="E224" s="3" t="s">
        <v>50</v>
      </c>
      <c r="F224" s="2"/>
      <c r="G224" s="2" t="s">
        <v>898</v>
      </c>
      <c r="H224" s="4">
        <v>3</v>
      </c>
      <c r="I224" s="5" t="s">
        <v>256</v>
      </c>
      <c r="J224" s="5" t="s">
        <v>111</v>
      </c>
    </row>
    <row r="225" spans="1:10" x14ac:dyDescent="0.3">
      <c r="A225" s="10">
        <v>1959</v>
      </c>
      <c r="B225" s="11" t="s">
        <v>582</v>
      </c>
      <c r="C225" s="12" t="s">
        <v>583</v>
      </c>
      <c r="D225" s="13" t="s">
        <v>584</v>
      </c>
      <c r="E225" s="3" t="s">
        <v>50</v>
      </c>
      <c r="F225" s="2"/>
      <c r="G225" s="2" t="s">
        <v>898</v>
      </c>
      <c r="H225" s="4">
        <v>3</v>
      </c>
      <c r="I225" s="5" t="s">
        <v>256</v>
      </c>
      <c r="J225" s="5" t="s">
        <v>132</v>
      </c>
    </row>
    <row r="226" spans="1:10" x14ac:dyDescent="0.3">
      <c r="A226" s="10">
        <v>1959</v>
      </c>
      <c r="B226" s="11" t="s">
        <v>585</v>
      </c>
      <c r="C226" s="12" t="s">
        <v>26</v>
      </c>
      <c r="D226" s="13" t="s">
        <v>586</v>
      </c>
      <c r="E226" s="3" t="s">
        <v>15</v>
      </c>
      <c r="F226" s="2" t="s">
        <v>28</v>
      </c>
      <c r="G226" s="2"/>
      <c r="H226" s="4"/>
      <c r="I226" s="5"/>
      <c r="J226" s="5"/>
    </row>
    <row r="227" spans="1:10" x14ac:dyDescent="0.3">
      <c r="A227" s="10">
        <v>1959</v>
      </c>
      <c r="B227" s="11" t="s">
        <v>587</v>
      </c>
      <c r="C227" s="12" t="s">
        <v>26</v>
      </c>
      <c r="D227" s="13" t="s">
        <v>588</v>
      </c>
      <c r="E227" s="3" t="s">
        <v>15</v>
      </c>
      <c r="F227" s="2" t="s">
        <v>28</v>
      </c>
      <c r="G227" s="2"/>
      <c r="H227" s="4"/>
      <c r="I227" s="5"/>
      <c r="J227" s="5"/>
    </row>
    <row r="228" spans="1:10" x14ac:dyDescent="0.3">
      <c r="A228" s="10">
        <v>1959</v>
      </c>
      <c r="B228" s="11" t="s">
        <v>589</v>
      </c>
      <c r="C228" s="12" t="s">
        <v>533</v>
      </c>
      <c r="D228" s="13" t="s">
        <v>590</v>
      </c>
      <c r="E228" s="3" t="s">
        <v>50</v>
      </c>
      <c r="F228" s="2"/>
      <c r="G228" s="2" t="s">
        <v>898</v>
      </c>
      <c r="H228" s="4">
        <v>3</v>
      </c>
      <c r="I228" s="5" t="s">
        <v>256</v>
      </c>
      <c r="J228" s="5" t="s">
        <v>51</v>
      </c>
    </row>
    <row r="229" spans="1:10" x14ac:dyDescent="0.3">
      <c r="A229" s="10">
        <v>1962</v>
      </c>
      <c r="B229" s="11" t="s">
        <v>591</v>
      </c>
      <c r="C229" s="12" t="s">
        <v>26</v>
      </c>
      <c r="D229" s="13" t="s">
        <v>592</v>
      </c>
      <c r="E229" s="3" t="s">
        <v>15</v>
      </c>
      <c r="F229" s="2" t="s">
        <v>28</v>
      </c>
      <c r="G229" s="2"/>
      <c r="H229" s="4"/>
      <c r="I229" s="5"/>
      <c r="J229" s="5"/>
    </row>
    <row r="230" spans="1:10" x14ac:dyDescent="0.3">
      <c r="A230" s="10">
        <v>1962</v>
      </c>
      <c r="B230" s="11" t="s">
        <v>593</v>
      </c>
      <c r="C230" s="12" t="s">
        <v>97</v>
      </c>
      <c r="D230" s="13" t="s">
        <v>594</v>
      </c>
      <c r="E230" s="3" t="s">
        <v>50</v>
      </c>
      <c r="F230" s="2"/>
      <c r="G230" s="2" t="s">
        <v>898</v>
      </c>
      <c r="H230" s="4">
        <v>3</v>
      </c>
      <c r="I230" s="5" t="s">
        <v>99</v>
      </c>
      <c r="J230" s="5" t="s">
        <v>51</v>
      </c>
    </row>
    <row r="231" spans="1:10" x14ac:dyDescent="0.3">
      <c r="A231" s="10">
        <v>1963</v>
      </c>
      <c r="B231" s="11" t="s">
        <v>595</v>
      </c>
      <c r="C231" s="12" t="s">
        <v>26</v>
      </c>
      <c r="D231" s="13" t="s">
        <v>596</v>
      </c>
      <c r="E231" s="3" t="s">
        <v>15</v>
      </c>
      <c r="F231" s="2" t="s">
        <v>28</v>
      </c>
      <c r="G231" s="2"/>
      <c r="H231" s="4"/>
      <c r="I231" s="5"/>
      <c r="J231" s="5"/>
    </row>
    <row r="232" spans="1:10" x14ac:dyDescent="0.3">
      <c r="A232" s="10">
        <v>1963</v>
      </c>
      <c r="B232" s="11" t="s">
        <v>597</v>
      </c>
      <c r="C232" s="12" t="s">
        <v>26</v>
      </c>
      <c r="D232" s="13" t="s">
        <v>598</v>
      </c>
      <c r="E232" s="3" t="s">
        <v>15</v>
      </c>
      <c r="F232" s="2" t="s">
        <v>28</v>
      </c>
      <c r="G232" s="2"/>
      <c r="H232" s="4"/>
      <c r="I232" s="5"/>
      <c r="J232" s="5"/>
    </row>
    <row r="233" spans="1:10" x14ac:dyDescent="0.3">
      <c r="A233" s="10">
        <v>1964</v>
      </c>
      <c r="B233" s="11" t="s">
        <v>599</v>
      </c>
      <c r="C233" s="12" t="s">
        <v>26</v>
      </c>
      <c r="D233" s="13" t="s">
        <v>600</v>
      </c>
      <c r="E233" s="3" t="s">
        <v>15</v>
      </c>
      <c r="F233" s="2" t="s">
        <v>28</v>
      </c>
      <c r="G233" s="2"/>
      <c r="H233" s="4"/>
      <c r="I233" s="5"/>
      <c r="J233" s="5"/>
    </row>
    <row r="234" spans="1:10" x14ac:dyDescent="0.3">
      <c r="A234" s="10">
        <v>1965</v>
      </c>
      <c r="B234" s="11" t="s">
        <v>601</v>
      </c>
      <c r="C234" s="12" t="s">
        <v>388</v>
      </c>
      <c r="D234" s="13" t="s">
        <v>602</v>
      </c>
      <c r="E234" s="3" t="s">
        <v>50</v>
      </c>
      <c r="F234" s="2"/>
      <c r="G234" s="2" t="s">
        <v>897</v>
      </c>
      <c r="H234" s="4">
        <v>3</v>
      </c>
      <c r="I234" s="5" t="s">
        <v>99</v>
      </c>
      <c r="J234" s="5" t="s">
        <v>51</v>
      </c>
    </row>
    <row r="235" spans="1:10" x14ac:dyDescent="0.3">
      <c r="A235" s="10">
        <v>1965</v>
      </c>
      <c r="B235" s="11" t="s">
        <v>603</v>
      </c>
      <c r="C235" s="12" t="s">
        <v>604</v>
      </c>
      <c r="D235" s="13" t="s">
        <v>605</v>
      </c>
      <c r="E235" s="3" t="s">
        <v>50</v>
      </c>
      <c r="F235" s="2"/>
      <c r="G235" s="2" t="s">
        <v>898</v>
      </c>
      <c r="H235" s="4">
        <v>1</v>
      </c>
      <c r="I235" s="5" t="s">
        <v>87</v>
      </c>
      <c r="J235" s="5" t="s">
        <v>132</v>
      </c>
    </row>
    <row r="236" spans="1:10" x14ac:dyDescent="0.3">
      <c r="A236" s="10">
        <v>1967</v>
      </c>
      <c r="B236" s="11" t="s">
        <v>606</v>
      </c>
      <c r="C236" s="12" t="s">
        <v>607</v>
      </c>
      <c r="D236" s="13" t="s">
        <v>608</v>
      </c>
      <c r="E236" s="3" t="s">
        <v>50</v>
      </c>
      <c r="F236" s="2"/>
      <c r="G236" s="2" t="s">
        <v>898</v>
      </c>
      <c r="H236" s="4">
        <v>3</v>
      </c>
      <c r="I236" s="5" t="s">
        <v>256</v>
      </c>
      <c r="J236" s="5" t="s">
        <v>51</v>
      </c>
    </row>
    <row r="237" spans="1:10" x14ac:dyDescent="0.3">
      <c r="A237" s="10">
        <v>1967</v>
      </c>
      <c r="B237" s="11" t="s">
        <v>609</v>
      </c>
      <c r="C237" s="12" t="s">
        <v>467</v>
      </c>
      <c r="D237" s="13" t="s">
        <v>610</v>
      </c>
      <c r="E237" s="3" t="s">
        <v>50</v>
      </c>
      <c r="F237" s="2"/>
      <c r="G237" s="2" t="s">
        <v>898</v>
      </c>
      <c r="H237" s="4">
        <v>1</v>
      </c>
      <c r="I237" s="5" t="s">
        <v>256</v>
      </c>
      <c r="J237" s="5" t="s">
        <v>51</v>
      </c>
    </row>
    <row r="238" spans="1:10" x14ac:dyDescent="0.3">
      <c r="A238" s="10">
        <v>1967</v>
      </c>
      <c r="B238" s="11" t="s">
        <v>611</v>
      </c>
      <c r="C238" s="12" t="s">
        <v>612</v>
      </c>
      <c r="D238" s="13" t="s">
        <v>613</v>
      </c>
      <c r="E238" s="3" t="s">
        <v>50</v>
      </c>
      <c r="F238" s="2"/>
      <c r="G238" s="2" t="s">
        <v>898</v>
      </c>
      <c r="H238" s="4">
        <v>1</v>
      </c>
      <c r="I238" s="5" t="s">
        <v>180</v>
      </c>
      <c r="J238" s="5" t="s">
        <v>51</v>
      </c>
    </row>
    <row r="239" spans="1:10" x14ac:dyDescent="0.3">
      <c r="A239" s="10">
        <v>1967</v>
      </c>
      <c r="B239" s="11" t="s">
        <v>614</v>
      </c>
      <c r="C239" s="12" t="s">
        <v>612</v>
      </c>
      <c r="D239" s="13" t="s">
        <v>615</v>
      </c>
      <c r="E239" s="3" t="s">
        <v>50</v>
      </c>
      <c r="F239" s="2"/>
      <c r="G239" s="2" t="s">
        <v>898</v>
      </c>
      <c r="H239" s="4">
        <v>1</v>
      </c>
      <c r="I239" s="5" t="s">
        <v>180</v>
      </c>
      <c r="J239" s="5" t="s">
        <v>51</v>
      </c>
    </row>
    <row r="240" spans="1:10" x14ac:dyDescent="0.3">
      <c r="A240" s="10">
        <v>1968</v>
      </c>
      <c r="B240" s="11" t="s">
        <v>616</v>
      </c>
      <c r="C240" s="12" t="s">
        <v>617</v>
      </c>
      <c r="D240" s="13" t="s">
        <v>618</v>
      </c>
      <c r="E240" s="3" t="s">
        <v>50</v>
      </c>
      <c r="F240" s="2"/>
      <c r="G240" s="2" t="s">
        <v>898</v>
      </c>
      <c r="H240" s="4">
        <v>3</v>
      </c>
      <c r="I240" s="5" t="s">
        <v>256</v>
      </c>
      <c r="J240" s="5" t="s">
        <v>51</v>
      </c>
    </row>
    <row r="241" spans="1:10" x14ac:dyDescent="0.3">
      <c r="A241" s="10">
        <v>1968</v>
      </c>
      <c r="B241" s="11" t="s">
        <v>619</v>
      </c>
      <c r="C241" s="12" t="s">
        <v>620</v>
      </c>
      <c r="D241" s="13" t="s">
        <v>621</v>
      </c>
      <c r="E241" s="3" t="s">
        <v>50</v>
      </c>
      <c r="F241" s="2"/>
      <c r="G241" s="2" t="s">
        <v>898</v>
      </c>
      <c r="H241" s="4">
        <v>1</v>
      </c>
      <c r="I241" s="5" t="s">
        <v>51</v>
      </c>
      <c r="J241" s="5" t="s">
        <v>51</v>
      </c>
    </row>
    <row r="242" spans="1:10" x14ac:dyDescent="0.3">
      <c r="A242" s="10">
        <v>1970</v>
      </c>
      <c r="B242" s="11" t="s">
        <v>622</v>
      </c>
      <c r="C242" s="12" t="s">
        <v>94</v>
      </c>
      <c r="D242" s="13" t="s">
        <v>623</v>
      </c>
      <c r="E242" s="3" t="s">
        <v>15</v>
      </c>
      <c r="F242" s="2" t="s">
        <v>28</v>
      </c>
      <c r="G242" s="2"/>
      <c r="H242" s="4"/>
      <c r="I242" s="5"/>
      <c r="J242" s="5"/>
    </row>
    <row r="243" spans="1:10" x14ac:dyDescent="0.3">
      <c r="A243" s="10">
        <v>1972</v>
      </c>
      <c r="B243" s="11" t="s">
        <v>624</v>
      </c>
      <c r="C243" s="12" t="s">
        <v>625</v>
      </c>
      <c r="D243" s="13" t="s">
        <v>626</v>
      </c>
      <c r="E243" s="3" t="s">
        <v>50</v>
      </c>
      <c r="F243" s="2"/>
      <c r="G243" s="2" t="s">
        <v>898</v>
      </c>
      <c r="H243" s="4">
        <v>1</v>
      </c>
      <c r="I243" s="5" t="s">
        <v>51</v>
      </c>
      <c r="J243" s="5" t="s">
        <v>51</v>
      </c>
    </row>
    <row r="244" spans="1:10" x14ac:dyDescent="0.3">
      <c r="A244" s="10">
        <v>1972</v>
      </c>
      <c r="B244" s="11" t="s">
        <v>627</v>
      </c>
      <c r="C244" s="12" t="s">
        <v>109</v>
      </c>
      <c r="D244" s="13" t="s">
        <v>628</v>
      </c>
      <c r="E244" s="3" t="s">
        <v>50</v>
      </c>
      <c r="F244" s="2"/>
      <c r="G244" s="2" t="s">
        <v>898</v>
      </c>
      <c r="H244" s="4">
        <v>3</v>
      </c>
      <c r="I244" s="5" t="s">
        <v>111</v>
      </c>
      <c r="J244" s="5" t="s">
        <v>51</v>
      </c>
    </row>
    <row r="245" spans="1:10" x14ac:dyDescent="0.3">
      <c r="A245" s="10">
        <v>1972</v>
      </c>
      <c r="B245" s="11" t="s">
        <v>629</v>
      </c>
      <c r="C245" s="12" t="s">
        <v>68</v>
      </c>
      <c r="D245" s="13" t="s">
        <v>630</v>
      </c>
      <c r="E245" s="3" t="s">
        <v>50</v>
      </c>
      <c r="F245" s="2"/>
      <c r="G245" s="2" t="s">
        <v>898</v>
      </c>
      <c r="H245" s="4">
        <v>1</v>
      </c>
      <c r="I245" s="5" t="s">
        <v>51</v>
      </c>
      <c r="J245" s="5" t="s">
        <v>51</v>
      </c>
    </row>
    <row r="246" spans="1:10" x14ac:dyDescent="0.3">
      <c r="A246" s="10">
        <v>1972</v>
      </c>
      <c r="B246" s="11" t="s">
        <v>631</v>
      </c>
      <c r="C246" s="12" t="s">
        <v>533</v>
      </c>
      <c r="D246" s="13" t="s">
        <v>632</v>
      </c>
      <c r="E246" s="3" t="s">
        <v>50</v>
      </c>
      <c r="F246" s="2"/>
      <c r="G246" s="2" t="s">
        <v>898</v>
      </c>
      <c r="H246" s="4">
        <v>3</v>
      </c>
      <c r="I246" s="5" t="s">
        <v>256</v>
      </c>
      <c r="J246" s="5" t="s">
        <v>111</v>
      </c>
    </row>
    <row r="247" spans="1:10" x14ac:dyDescent="0.3">
      <c r="A247" s="10">
        <v>1972</v>
      </c>
      <c r="B247" s="11" t="s">
        <v>633</v>
      </c>
      <c r="C247" s="12" t="s">
        <v>634</v>
      </c>
      <c r="D247" s="13" t="s">
        <v>635</v>
      </c>
      <c r="E247" s="3" t="s">
        <v>50</v>
      </c>
      <c r="F247" s="2"/>
      <c r="G247" s="2" t="s">
        <v>898</v>
      </c>
      <c r="H247" s="4">
        <v>1</v>
      </c>
      <c r="I247" s="5" t="s">
        <v>180</v>
      </c>
      <c r="J247" s="5" t="s">
        <v>51</v>
      </c>
    </row>
    <row r="248" spans="1:10" x14ac:dyDescent="0.3">
      <c r="A248" s="10">
        <v>1972</v>
      </c>
      <c r="B248" s="11" t="s">
        <v>636</v>
      </c>
      <c r="C248" s="12" t="s">
        <v>634</v>
      </c>
      <c r="D248" s="13" t="s">
        <v>637</v>
      </c>
      <c r="E248" s="3" t="s">
        <v>50</v>
      </c>
      <c r="F248" s="2"/>
      <c r="G248" s="2" t="s">
        <v>898</v>
      </c>
      <c r="H248" s="4">
        <v>1</v>
      </c>
      <c r="I248" s="5" t="s">
        <v>180</v>
      </c>
      <c r="J248" s="5" t="s">
        <v>51</v>
      </c>
    </row>
    <row r="249" spans="1:10" x14ac:dyDescent="0.3">
      <c r="A249" s="10">
        <v>1972</v>
      </c>
      <c r="B249" s="11" t="s">
        <v>638</v>
      </c>
      <c r="C249" s="12" t="s">
        <v>639</v>
      </c>
      <c r="D249" s="13" t="s">
        <v>640</v>
      </c>
      <c r="E249" s="3" t="s">
        <v>50</v>
      </c>
      <c r="F249" s="2"/>
      <c r="G249" s="2" t="s">
        <v>897</v>
      </c>
      <c r="H249" s="4">
        <v>1</v>
      </c>
      <c r="I249" s="5" t="s">
        <v>51</v>
      </c>
      <c r="J249" s="5" t="s">
        <v>51</v>
      </c>
    </row>
    <row r="250" spans="1:10" x14ac:dyDescent="0.3">
      <c r="A250" s="10">
        <v>1972</v>
      </c>
      <c r="B250" s="11" t="s">
        <v>641</v>
      </c>
      <c r="C250" s="12" t="s">
        <v>642</v>
      </c>
      <c r="D250" s="13" t="s">
        <v>643</v>
      </c>
      <c r="E250" s="3" t="s">
        <v>50</v>
      </c>
      <c r="F250" s="2"/>
      <c r="G250" s="2" t="s">
        <v>897</v>
      </c>
      <c r="H250" s="4">
        <v>3</v>
      </c>
      <c r="I250" s="5" t="s">
        <v>99</v>
      </c>
      <c r="J250" s="5" t="s">
        <v>51</v>
      </c>
    </row>
    <row r="251" spans="1:10" x14ac:dyDescent="0.3">
      <c r="A251" s="10">
        <v>1973</v>
      </c>
      <c r="B251" s="11" t="s">
        <v>644</v>
      </c>
      <c r="C251" s="12" t="s">
        <v>480</v>
      </c>
      <c r="D251" s="13" t="s">
        <v>645</v>
      </c>
      <c r="E251" s="3" t="s">
        <v>50</v>
      </c>
      <c r="F251" s="2"/>
      <c r="G251" s="2" t="s">
        <v>898</v>
      </c>
      <c r="H251" s="4">
        <v>1</v>
      </c>
      <c r="I251" s="5" t="s">
        <v>408</v>
      </c>
      <c r="J251" s="5" t="s">
        <v>51</v>
      </c>
    </row>
    <row r="252" spans="1:10" x14ac:dyDescent="0.3">
      <c r="A252" s="10">
        <v>1973</v>
      </c>
      <c r="B252" s="11" t="s">
        <v>646</v>
      </c>
      <c r="C252" s="12" t="s">
        <v>647</v>
      </c>
      <c r="D252" s="13" t="s">
        <v>648</v>
      </c>
      <c r="E252" s="3" t="s">
        <v>50</v>
      </c>
      <c r="F252" s="2"/>
      <c r="G252" s="2" t="s">
        <v>898</v>
      </c>
      <c r="H252" s="4">
        <v>3</v>
      </c>
      <c r="I252" s="5" t="s">
        <v>256</v>
      </c>
      <c r="J252" s="5" t="s">
        <v>111</v>
      </c>
    </row>
    <row r="253" spans="1:10" x14ac:dyDescent="0.3">
      <c r="A253" s="10">
        <v>1973</v>
      </c>
      <c r="B253" s="11" t="s">
        <v>649</v>
      </c>
      <c r="C253" s="12" t="s">
        <v>97</v>
      </c>
      <c r="D253" s="13" t="s">
        <v>650</v>
      </c>
      <c r="E253" s="3" t="s">
        <v>50</v>
      </c>
      <c r="F253" s="2"/>
      <c r="G253" s="2" t="s">
        <v>898</v>
      </c>
      <c r="H253" s="4">
        <v>3</v>
      </c>
      <c r="I253" s="5" t="s">
        <v>99</v>
      </c>
      <c r="J253" s="5" t="s">
        <v>51</v>
      </c>
    </row>
    <row r="254" spans="1:10" x14ac:dyDescent="0.3">
      <c r="A254" s="10">
        <v>1973</v>
      </c>
      <c r="B254" s="11" t="s">
        <v>651</v>
      </c>
      <c r="C254" s="12" t="s">
        <v>652</v>
      </c>
      <c r="D254" s="13" t="s">
        <v>653</v>
      </c>
      <c r="E254" s="3" t="s">
        <v>50</v>
      </c>
      <c r="F254" s="2"/>
      <c r="G254" s="2" t="s">
        <v>898</v>
      </c>
      <c r="H254" s="4">
        <v>3</v>
      </c>
      <c r="I254" s="5" t="s">
        <v>111</v>
      </c>
      <c r="J254" s="5" t="s">
        <v>51</v>
      </c>
    </row>
    <row r="255" spans="1:10" x14ac:dyDescent="0.3">
      <c r="A255" s="10">
        <v>1973</v>
      </c>
      <c r="B255" s="11" t="s">
        <v>654</v>
      </c>
      <c r="C255" s="12" t="s">
        <v>26</v>
      </c>
      <c r="D255" s="13" t="s">
        <v>655</v>
      </c>
      <c r="E255" s="3" t="s">
        <v>15</v>
      </c>
      <c r="F255" s="2" t="s">
        <v>28</v>
      </c>
      <c r="G255" s="2"/>
      <c r="H255" s="4"/>
      <c r="I255" s="5"/>
      <c r="J255" s="5"/>
    </row>
    <row r="256" spans="1:10" x14ac:dyDescent="0.3">
      <c r="A256" s="10">
        <v>1973</v>
      </c>
      <c r="B256" s="11" t="s">
        <v>656</v>
      </c>
      <c r="C256" s="12" t="s">
        <v>331</v>
      </c>
      <c r="D256" s="13" t="s">
        <v>657</v>
      </c>
      <c r="E256" s="3" t="s">
        <v>50</v>
      </c>
      <c r="F256" s="2"/>
      <c r="G256" s="2" t="s">
        <v>898</v>
      </c>
      <c r="H256" s="4">
        <v>3</v>
      </c>
      <c r="I256" s="5" t="s">
        <v>256</v>
      </c>
      <c r="J256" s="5" t="s">
        <v>256</v>
      </c>
    </row>
    <row r="257" spans="1:10" x14ac:dyDescent="0.3">
      <c r="A257" s="10">
        <v>1974</v>
      </c>
      <c r="B257" s="11" t="s">
        <v>658</v>
      </c>
      <c r="C257" s="12" t="s">
        <v>659</v>
      </c>
      <c r="D257" s="13" t="s">
        <v>660</v>
      </c>
      <c r="E257" s="3" t="s">
        <v>50</v>
      </c>
      <c r="F257" s="2"/>
      <c r="G257" s="2" t="s">
        <v>898</v>
      </c>
      <c r="H257" s="4">
        <v>3</v>
      </c>
      <c r="I257" s="5" t="s">
        <v>132</v>
      </c>
      <c r="J257" s="5" t="s">
        <v>132</v>
      </c>
    </row>
    <row r="258" spans="1:10" x14ac:dyDescent="0.3">
      <c r="A258" s="10">
        <v>1974</v>
      </c>
      <c r="B258" s="11" t="s">
        <v>661</v>
      </c>
      <c r="C258" s="12" t="s">
        <v>474</v>
      </c>
      <c r="D258" s="13" t="s">
        <v>662</v>
      </c>
      <c r="E258" s="3" t="s">
        <v>50</v>
      </c>
      <c r="F258" s="2"/>
      <c r="G258" s="2" t="s">
        <v>897</v>
      </c>
      <c r="H258" s="4">
        <v>1</v>
      </c>
      <c r="I258" s="5" t="s">
        <v>51</v>
      </c>
      <c r="J258" s="5" t="s">
        <v>51</v>
      </c>
    </row>
    <row r="259" spans="1:10" x14ac:dyDescent="0.3">
      <c r="A259" s="10">
        <v>1975</v>
      </c>
      <c r="B259" s="11" t="s">
        <v>663</v>
      </c>
      <c r="C259" s="12" t="s">
        <v>652</v>
      </c>
      <c r="D259" s="13" t="s">
        <v>664</v>
      </c>
      <c r="E259" s="3" t="s">
        <v>50</v>
      </c>
      <c r="F259" s="2"/>
      <c r="G259" s="2" t="s">
        <v>898</v>
      </c>
      <c r="H259" s="4">
        <v>1</v>
      </c>
      <c r="I259" s="5" t="s">
        <v>180</v>
      </c>
      <c r="J259" s="5" t="s">
        <v>51</v>
      </c>
    </row>
    <row r="260" spans="1:10" x14ac:dyDescent="0.3">
      <c r="A260" s="10">
        <v>1976</v>
      </c>
      <c r="B260" s="11" t="s">
        <v>665</v>
      </c>
      <c r="C260" s="12" t="s">
        <v>666</v>
      </c>
      <c r="D260" s="13" t="s">
        <v>667</v>
      </c>
      <c r="E260" s="3" t="s">
        <v>15</v>
      </c>
      <c r="F260" s="2" t="s">
        <v>28</v>
      </c>
      <c r="G260" s="2"/>
      <c r="H260" s="4"/>
      <c r="I260" s="5"/>
      <c r="J260" s="5"/>
    </row>
    <row r="261" spans="1:10" x14ac:dyDescent="0.3">
      <c r="A261" s="10">
        <v>1976</v>
      </c>
      <c r="B261" s="11" t="s">
        <v>668</v>
      </c>
      <c r="C261" s="12" t="s">
        <v>45</v>
      </c>
      <c r="D261" s="13" t="s">
        <v>669</v>
      </c>
      <c r="E261" s="3" t="s">
        <v>15</v>
      </c>
      <c r="F261" s="2" t="s">
        <v>28</v>
      </c>
      <c r="G261" s="2"/>
      <c r="H261" s="4"/>
      <c r="I261" s="5"/>
      <c r="J261" s="5"/>
    </row>
    <row r="262" spans="1:10" x14ac:dyDescent="0.3">
      <c r="A262" s="10">
        <v>1976</v>
      </c>
      <c r="B262" s="11" t="s">
        <v>670</v>
      </c>
      <c r="C262" s="12" t="s">
        <v>671</v>
      </c>
      <c r="D262" s="13" t="s">
        <v>672</v>
      </c>
      <c r="E262" s="3" t="s">
        <v>50</v>
      </c>
      <c r="F262" s="2"/>
      <c r="G262" s="2" t="s">
        <v>897</v>
      </c>
      <c r="H262" s="4">
        <v>1</v>
      </c>
      <c r="I262" s="5" t="s">
        <v>168</v>
      </c>
      <c r="J262" s="5" t="s">
        <v>51</v>
      </c>
    </row>
    <row r="263" spans="1:10" x14ac:dyDescent="0.3">
      <c r="A263" s="10">
        <v>1977</v>
      </c>
      <c r="B263" s="11" t="s">
        <v>673</v>
      </c>
      <c r="C263" s="12" t="s">
        <v>674</v>
      </c>
      <c r="D263" s="13" t="s">
        <v>675</v>
      </c>
      <c r="E263" s="3" t="s">
        <v>50</v>
      </c>
      <c r="F263" s="2"/>
      <c r="G263" s="2" t="s">
        <v>898</v>
      </c>
      <c r="H263" s="4">
        <v>1</v>
      </c>
      <c r="I263" s="5" t="s">
        <v>180</v>
      </c>
      <c r="J263" s="5" t="s">
        <v>132</v>
      </c>
    </row>
    <row r="264" spans="1:10" x14ac:dyDescent="0.3">
      <c r="A264" s="10">
        <v>1977</v>
      </c>
      <c r="B264" s="11" t="s">
        <v>676</v>
      </c>
      <c r="C264" s="12" t="s">
        <v>533</v>
      </c>
      <c r="D264" s="13" t="s">
        <v>677</v>
      </c>
      <c r="E264" s="3" t="s">
        <v>50</v>
      </c>
      <c r="F264" s="2"/>
      <c r="G264" s="2" t="s">
        <v>897</v>
      </c>
      <c r="H264" s="4">
        <v>3</v>
      </c>
      <c r="I264" s="5" t="s">
        <v>256</v>
      </c>
      <c r="J264" s="5" t="s">
        <v>51</v>
      </c>
    </row>
    <row r="265" spans="1:10" x14ac:dyDescent="0.3">
      <c r="A265" s="10">
        <v>1978</v>
      </c>
      <c r="B265" s="11" t="s">
        <v>678</v>
      </c>
      <c r="C265" s="12" t="s">
        <v>679</v>
      </c>
      <c r="D265" s="13" t="s">
        <v>680</v>
      </c>
      <c r="E265" s="3" t="s">
        <v>50</v>
      </c>
      <c r="F265" s="2"/>
      <c r="G265" s="2" t="s">
        <v>898</v>
      </c>
      <c r="H265" s="4">
        <v>3</v>
      </c>
      <c r="I265" s="5" t="s">
        <v>256</v>
      </c>
      <c r="J265" s="5" t="s">
        <v>132</v>
      </c>
    </row>
    <row r="266" spans="1:10" x14ac:dyDescent="0.3">
      <c r="A266" s="10">
        <v>1978</v>
      </c>
      <c r="B266" s="11" t="s">
        <v>681</v>
      </c>
      <c r="C266" s="12" t="s">
        <v>68</v>
      </c>
      <c r="D266" s="13" t="s">
        <v>682</v>
      </c>
      <c r="E266" s="3" t="s">
        <v>50</v>
      </c>
      <c r="F266" s="2"/>
      <c r="G266" s="2" t="s">
        <v>898</v>
      </c>
      <c r="H266" s="4">
        <v>1</v>
      </c>
      <c r="I266" s="5" t="s">
        <v>51</v>
      </c>
      <c r="J266" s="5" t="s">
        <v>132</v>
      </c>
    </row>
    <row r="267" spans="1:10" x14ac:dyDescent="0.3">
      <c r="A267" s="10">
        <v>1979</v>
      </c>
      <c r="B267" s="11" t="s">
        <v>683</v>
      </c>
      <c r="C267" s="12" t="s">
        <v>388</v>
      </c>
      <c r="D267" s="13" t="s">
        <v>684</v>
      </c>
      <c r="E267" s="3" t="s">
        <v>50</v>
      </c>
      <c r="F267" s="2"/>
      <c r="G267" s="2" t="s">
        <v>897</v>
      </c>
      <c r="H267" s="4">
        <v>3</v>
      </c>
      <c r="I267" s="5" t="s">
        <v>99</v>
      </c>
      <c r="J267" s="5" t="s">
        <v>51</v>
      </c>
    </row>
    <row r="268" spans="1:10" x14ac:dyDescent="0.3">
      <c r="A268" s="10">
        <v>1979</v>
      </c>
      <c r="B268" s="11" t="s">
        <v>685</v>
      </c>
      <c r="C268" s="12" t="s">
        <v>26</v>
      </c>
      <c r="D268" s="13" t="s">
        <v>686</v>
      </c>
      <c r="E268" s="3" t="s">
        <v>15</v>
      </c>
      <c r="F268" s="2" t="s">
        <v>28</v>
      </c>
      <c r="G268" s="2"/>
      <c r="H268" s="4"/>
      <c r="I268" s="5"/>
      <c r="J268" s="5"/>
    </row>
    <row r="269" spans="1:10" x14ac:dyDescent="0.3">
      <c r="A269" s="10">
        <v>1980</v>
      </c>
      <c r="B269" s="11" t="s">
        <v>687</v>
      </c>
      <c r="C269" s="12" t="s">
        <v>205</v>
      </c>
      <c r="D269" s="13" t="s">
        <v>688</v>
      </c>
      <c r="E269" s="3" t="s">
        <v>15</v>
      </c>
      <c r="F269" s="2" t="s">
        <v>20</v>
      </c>
      <c r="G269" s="2"/>
      <c r="H269" s="4"/>
      <c r="I269" s="5"/>
      <c r="J269" s="5"/>
    </row>
    <row r="270" spans="1:10" x14ac:dyDescent="0.3">
      <c r="A270" s="10">
        <v>1980</v>
      </c>
      <c r="B270" s="11" t="s">
        <v>689</v>
      </c>
      <c r="C270" s="12" t="s">
        <v>205</v>
      </c>
      <c r="D270" s="13" t="s">
        <v>690</v>
      </c>
      <c r="E270" s="3" t="s">
        <v>15</v>
      </c>
      <c r="F270" s="2" t="s">
        <v>20</v>
      </c>
      <c r="G270" s="2"/>
      <c r="H270" s="4"/>
      <c r="I270" s="5"/>
      <c r="J270" s="5"/>
    </row>
    <row r="271" spans="1:10" x14ac:dyDescent="0.3">
      <c r="A271" s="10">
        <v>1980</v>
      </c>
      <c r="B271" s="11" t="s">
        <v>691</v>
      </c>
      <c r="C271" s="12" t="s">
        <v>205</v>
      </c>
      <c r="D271" s="13" t="s">
        <v>692</v>
      </c>
      <c r="E271" s="3" t="s">
        <v>15</v>
      </c>
      <c r="F271" s="2" t="s">
        <v>20</v>
      </c>
      <c r="G271" s="2"/>
      <c r="H271" s="4"/>
      <c r="I271" s="5"/>
      <c r="J271" s="5"/>
    </row>
    <row r="272" spans="1:10" x14ac:dyDescent="0.3">
      <c r="A272" s="10">
        <v>1980</v>
      </c>
      <c r="B272" s="11" t="s">
        <v>693</v>
      </c>
      <c r="C272" s="12" t="s">
        <v>205</v>
      </c>
      <c r="D272" s="13" t="s">
        <v>694</v>
      </c>
      <c r="E272" s="3" t="s">
        <v>15</v>
      </c>
      <c r="F272" s="2" t="s">
        <v>20</v>
      </c>
      <c r="G272" s="2"/>
      <c r="H272" s="4"/>
      <c r="I272" s="5"/>
      <c r="J272" s="5"/>
    </row>
    <row r="273" spans="1:10" x14ac:dyDescent="0.3">
      <c r="A273" s="10">
        <v>1980</v>
      </c>
      <c r="B273" s="11" t="s">
        <v>695</v>
      </c>
      <c r="C273" s="12" t="s">
        <v>205</v>
      </c>
      <c r="D273" s="13" t="s">
        <v>696</v>
      </c>
      <c r="E273" s="3" t="s">
        <v>15</v>
      </c>
      <c r="F273" s="2" t="s">
        <v>20</v>
      </c>
      <c r="G273" s="2"/>
      <c r="H273" s="4"/>
      <c r="I273" s="5"/>
      <c r="J273" s="5"/>
    </row>
    <row r="274" spans="1:10" x14ac:dyDescent="0.3">
      <c r="A274" s="10">
        <v>1980</v>
      </c>
      <c r="B274" s="11" t="s">
        <v>697</v>
      </c>
      <c r="C274" s="12" t="s">
        <v>205</v>
      </c>
      <c r="D274" s="13" t="s">
        <v>698</v>
      </c>
      <c r="E274" s="3" t="s">
        <v>15</v>
      </c>
      <c r="F274" s="2" t="s">
        <v>20</v>
      </c>
      <c r="G274" s="2"/>
      <c r="H274" s="4"/>
      <c r="I274" s="5"/>
      <c r="J274" s="5"/>
    </row>
    <row r="275" spans="1:10" x14ac:dyDescent="0.3">
      <c r="A275" s="10">
        <v>1980</v>
      </c>
      <c r="B275" s="11" t="s">
        <v>699</v>
      </c>
      <c r="C275" s="12" t="s">
        <v>109</v>
      </c>
      <c r="D275" s="13" t="s">
        <v>700</v>
      </c>
      <c r="E275" s="3" t="s">
        <v>50</v>
      </c>
      <c r="F275" s="2"/>
      <c r="G275" s="2" t="s">
        <v>898</v>
      </c>
      <c r="H275" s="4">
        <v>3</v>
      </c>
      <c r="I275" s="5" t="s">
        <v>111</v>
      </c>
      <c r="J275" s="5" t="s">
        <v>51</v>
      </c>
    </row>
    <row r="276" spans="1:10" x14ac:dyDescent="0.3">
      <c r="A276" s="10">
        <v>1980</v>
      </c>
      <c r="B276" s="11" t="s">
        <v>701</v>
      </c>
      <c r="C276" s="12" t="s">
        <v>26</v>
      </c>
      <c r="D276" s="13" t="s">
        <v>702</v>
      </c>
      <c r="E276" s="3" t="s">
        <v>15</v>
      </c>
      <c r="F276" s="2" t="s">
        <v>28</v>
      </c>
      <c r="G276" s="2"/>
      <c r="H276" s="4"/>
      <c r="I276" s="5"/>
      <c r="J276" s="5"/>
    </row>
    <row r="277" spans="1:10" x14ac:dyDescent="0.3">
      <c r="A277" s="10">
        <v>1981</v>
      </c>
      <c r="B277" s="11" t="s">
        <v>703</v>
      </c>
      <c r="C277" s="12" t="s">
        <v>205</v>
      </c>
      <c r="D277" s="13" t="s">
        <v>704</v>
      </c>
      <c r="E277" s="3" t="s">
        <v>15</v>
      </c>
      <c r="F277" s="2" t="s">
        <v>20</v>
      </c>
      <c r="G277" s="2"/>
      <c r="H277" s="4"/>
      <c r="I277" s="5"/>
      <c r="J277" s="5"/>
    </row>
    <row r="278" spans="1:10" x14ac:dyDescent="0.3">
      <c r="A278" s="10">
        <v>1981</v>
      </c>
      <c r="B278" s="11" t="s">
        <v>705</v>
      </c>
      <c r="C278" s="12" t="s">
        <v>68</v>
      </c>
      <c r="D278" s="13" t="s">
        <v>706</v>
      </c>
      <c r="E278" s="3" t="s">
        <v>50</v>
      </c>
      <c r="F278" s="2"/>
      <c r="G278" s="2" t="s">
        <v>897</v>
      </c>
      <c r="H278" s="4">
        <v>1</v>
      </c>
      <c r="I278" s="5" t="s">
        <v>51</v>
      </c>
      <c r="J278" s="5" t="s">
        <v>51</v>
      </c>
    </row>
    <row r="279" spans="1:10" x14ac:dyDescent="0.3">
      <c r="A279" s="10">
        <v>1981</v>
      </c>
      <c r="B279" s="11" t="s">
        <v>707</v>
      </c>
      <c r="C279" s="12" t="s">
        <v>45</v>
      </c>
      <c r="D279" s="13" t="s">
        <v>708</v>
      </c>
      <c r="E279" s="3" t="s">
        <v>15</v>
      </c>
      <c r="F279" s="2" t="s">
        <v>28</v>
      </c>
      <c r="G279" s="2"/>
      <c r="H279" s="4"/>
      <c r="I279" s="5"/>
      <c r="J279" s="5"/>
    </row>
    <row r="280" spans="1:10" x14ac:dyDescent="0.3">
      <c r="A280" s="10">
        <v>1981</v>
      </c>
      <c r="B280" s="11" t="s">
        <v>709</v>
      </c>
      <c r="C280" s="12" t="s">
        <v>45</v>
      </c>
      <c r="D280" s="13" t="s">
        <v>710</v>
      </c>
      <c r="E280" s="3" t="s">
        <v>15</v>
      </c>
      <c r="F280" s="2" t="s">
        <v>28</v>
      </c>
      <c r="G280" s="2"/>
      <c r="H280" s="4"/>
      <c r="I280" s="5"/>
      <c r="J280" s="5"/>
    </row>
    <row r="281" spans="1:10" x14ac:dyDescent="0.3">
      <c r="A281" s="10">
        <v>1981</v>
      </c>
      <c r="B281" s="11" t="s">
        <v>711</v>
      </c>
      <c r="C281" s="12" t="s">
        <v>712</v>
      </c>
      <c r="D281" s="13" t="s">
        <v>713</v>
      </c>
      <c r="E281" s="3" t="s">
        <v>50</v>
      </c>
      <c r="F281" s="2"/>
      <c r="G281" s="2" t="s">
        <v>898</v>
      </c>
      <c r="H281" s="4">
        <v>3</v>
      </c>
      <c r="I281" s="5" t="s">
        <v>256</v>
      </c>
      <c r="J281" s="5" t="s">
        <v>51</v>
      </c>
    </row>
    <row r="282" spans="1:10" x14ac:dyDescent="0.3">
      <c r="A282" s="10">
        <v>1982</v>
      </c>
      <c r="B282" s="11" t="s">
        <v>714</v>
      </c>
      <c r="C282" s="12" t="s">
        <v>715</v>
      </c>
      <c r="D282" s="13" t="s">
        <v>716</v>
      </c>
      <c r="E282" s="3" t="s">
        <v>50</v>
      </c>
      <c r="F282" s="2"/>
      <c r="G282" s="2" t="s">
        <v>898</v>
      </c>
      <c r="H282" s="4">
        <v>3</v>
      </c>
      <c r="I282" s="5" t="s">
        <v>256</v>
      </c>
      <c r="J282" s="5" t="s">
        <v>51</v>
      </c>
    </row>
    <row r="283" spans="1:10" x14ac:dyDescent="0.3">
      <c r="A283" s="10">
        <v>1983</v>
      </c>
      <c r="B283" s="11" t="s">
        <v>717</v>
      </c>
      <c r="C283" s="12" t="s">
        <v>26</v>
      </c>
      <c r="D283" s="13" t="s">
        <v>718</v>
      </c>
      <c r="E283" s="3" t="s">
        <v>15</v>
      </c>
      <c r="F283" s="2" t="s">
        <v>28</v>
      </c>
      <c r="G283" s="2"/>
      <c r="H283" s="4"/>
      <c r="I283" s="5"/>
      <c r="J283" s="5"/>
    </row>
    <row r="284" spans="1:10" x14ac:dyDescent="0.3">
      <c r="A284" s="10">
        <v>1983</v>
      </c>
      <c r="B284" s="11" t="s">
        <v>719</v>
      </c>
      <c r="C284" s="12" t="s">
        <v>448</v>
      </c>
      <c r="D284" s="13" t="s">
        <v>720</v>
      </c>
      <c r="E284" s="3" t="s">
        <v>50</v>
      </c>
      <c r="F284" s="2"/>
      <c r="G284" s="2" t="s">
        <v>898</v>
      </c>
      <c r="H284" s="4">
        <v>3</v>
      </c>
      <c r="I284" s="5" t="s">
        <v>256</v>
      </c>
      <c r="J284" s="5" t="s">
        <v>51</v>
      </c>
    </row>
    <row r="285" spans="1:10" x14ac:dyDescent="0.3">
      <c r="A285" s="10">
        <v>1983</v>
      </c>
      <c r="B285" s="11" t="s">
        <v>721</v>
      </c>
      <c r="C285" s="12" t="s">
        <v>109</v>
      </c>
      <c r="D285" s="13" t="s">
        <v>722</v>
      </c>
      <c r="E285" s="3" t="s">
        <v>50</v>
      </c>
      <c r="F285" s="2"/>
      <c r="G285" s="2" t="s">
        <v>898</v>
      </c>
      <c r="H285" s="4">
        <v>3</v>
      </c>
      <c r="I285" s="5" t="s">
        <v>111</v>
      </c>
      <c r="J285" s="5" t="s">
        <v>51</v>
      </c>
    </row>
    <row r="286" spans="1:10" x14ac:dyDescent="0.3">
      <c r="A286" s="10">
        <v>1984</v>
      </c>
      <c r="B286" s="11" t="s">
        <v>723</v>
      </c>
      <c r="C286" s="12" t="s">
        <v>26</v>
      </c>
      <c r="D286" s="13" t="s">
        <v>724</v>
      </c>
      <c r="E286" s="3" t="s">
        <v>15</v>
      </c>
      <c r="F286" s="2" t="s">
        <v>28</v>
      </c>
      <c r="G286" s="2"/>
      <c r="H286" s="4"/>
      <c r="I286" s="5"/>
      <c r="J286" s="5"/>
    </row>
    <row r="287" spans="1:10" x14ac:dyDescent="0.3">
      <c r="A287" s="10">
        <v>1984</v>
      </c>
      <c r="B287" s="11" t="s">
        <v>725</v>
      </c>
      <c r="C287" s="12" t="s">
        <v>331</v>
      </c>
      <c r="D287" s="13" t="s">
        <v>726</v>
      </c>
      <c r="E287" s="3" t="s">
        <v>50</v>
      </c>
      <c r="F287" s="2"/>
      <c r="G287" s="2" t="s">
        <v>898</v>
      </c>
      <c r="H287" s="4">
        <v>3</v>
      </c>
      <c r="I287" s="5" t="s">
        <v>256</v>
      </c>
      <c r="J287" s="5" t="s">
        <v>132</v>
      </c>
    </row>
    <row r="288" spans="1:10" x14ac:dyDescent="0.3">
      <c r="A288" s="10">
        <v>1984</v>
      </c>
      <c r="B288" s="11" t="s">
        <v>727</v>
      </c>
      <c r="C288" s="12" t="s">
        <v>331</v>
      </c>
      <c r="D288" s="13" t="s">
        <v>728</v>
      </c>
      <c r="E288" s="3" t="s">
        <v>50</v>
      </c>
      <c r="F288" s="2"/>
      <c r="G288" s="2" t="s">
        <v>898</v>
      </c>
      <c r="H288" s="4">
        <v>3</v>
      </c>
      <c r="I288" s="5" t="s">
        <v>256</v>
      </c>
      <c r="J288" s="5" t="s">
        <v>51</v>
      </c>
    </row>
    <row r="289" spans="1:10" x14ac:dyDescent="0.3">
      <c r="A289" s="10">
        <v>1984</v>
      </c>
      <c r="B289" s="11" t="s">
        <v>729</v>
      </c>
      <c r="C289" s="12" t="s">
        <v>331</v>
      </c>
      <c r="D289" s="13" t="s">
        <v>730</v>
      </c>
      <c r="E289" s="3" t="s">
        <v>50</v>
      </c>
      <c r="F289" s="2"/>
      <c r="G289" s="2" t="s">
        <v>898</v>
      </c>
      <c r="H289" s="4">
        <v>3</v>
      </c>
      <c r="I289" s="5" t="s">
        <v>256</v>
      </c>
      <c r="J289" s="5" t="s">
        <v>51</v>
      </c>
    </row>
    <row r="290" spans="1:10" x14ac:dyDescent="0.3">
      <c r="A290" s="10">
        <v>1985</v>
      </c>
      <c r="B290" s="11" t="s">
        <v>731</v>
      </c>
      <c r="C290" s="12" t="s">
        <v>533</v>
      </c>
      <c r="D290" s="13" t="s">
        <v>732</v>
      </c>
      <c r="E290" s="3" t="s">
        <v>50</v>
      </c>
      <c r="F290" s="2"/>
      <c r="G290" s="2" t="s">
        <v>898</v>
      </c>
      <c r="H290" s="4">
        <v>3</v>
      </c>
      <c r="I290" s="5" t="s">
        <v>256</v>
      </c>
      <c r="J290" s="5" t="s">
        <v>132</v>
      </c>
    </row>
    <row r="291" spans="1:10" x14ac:dyDescent="0.3">
      <c r="A291" s="10">
        <v>1985</v>
      </c>
      <c r="B291" s="11" t="s">
        <v>733</v>
      </c>
      <c r="C291" s="12" t="s">
        <v>109</v>
      </c>
      <c r="D291" s="13" t="s">
        <v>734</v>
      </c>
      <c r="E291" s="3" t="s">
        <v>50</v>
      </c>
      <c r="F291" s="2"/>
      <c r="G291" s="2" t="s">
        <v>898</v>
      </c>
      <c r="H291" s="4">
        <v>3</v>
      </c>
      <c r="I291" s="5" t="s">
        <v>111</v>
      </c>
      <c r="J291" s="5" t="s">
        <v>51</v>
      </c>
    </row>
    <row r="292" spans="1:10" x14ac:dyDescent="0.3">
      <c r="A292" s="10">
        <v>1985</v>
      </c>
      <c r="B292" s="11" t="s">
        <v>735</v>
      </c>
      <c r="C292" s="12" t="s">
        <v>736</v>
      </c>
      <c r="D292" s="13" t="s">
        <v>737</v>
      </c>
      <c r="E292" s="3" t="s">
        <v>50</v>
      </c>
      <c r="F292" s="2"/>
      <c r="G292" s="2" t="s">
        <v>898</v>
      </c>
      <c r="H292" s="4">
        <v>2</v>
      </c>
      <c r="I292" s="5" t="s">
        <v>738</v>
      </c>
      <c r="J292" s="5" t="s">
        <v>132</v>
      </c>
    </row>
    <row r="293" spans="1:10" x14ac:dyDescent="0.3">
      <c r="A293" s="10">
        <v>1985</v>
      </c>
      <c r="B293" s="11" t="s">
        <v>739</v>
      </c>
      <c r="C293" s="12" t="s">
        <v>467</v>
      </c>
      <c r="D293" s="13" t="s">
        <v>740</v>
      </c>
      <c r="E293" s="3" t="s">
        <v>50</v>
      </c>
      <c r="F293" s="2"/>
      <c r="G293" s="2" t="s">
        <v>898</v>
      </c>
      <c r="H293" s="4">
        <v>3</v>
      </c>
      <c r="I293" s="5" t="s">
        <v>256</v>
      </c>
      <c r="J293" s="5" t="s">
        <v>111</v>
      </c>
    </row>
    <row r="294" spans="1:10" x14ac:dyDescent="0.3">
      <c r="A294" s="10">
        <v>1985</v>
      </c>
      <c r="B294" s="11" t="s">
        <v>741</v>
      </c>
      <c r="C294" s="12" t="s">
        <v>467</v>
      </c>
      <c r="D294" s="13" t="s">
        <v>742</v>
      </c>
      <c r="E294" s="3" t="s">
        <v>50</v>
      </c>
      <c r="F294" s="2"/>
      <c r="G294" s="2" t="s">
        <v>898</v>
      </c>
      <c r="H294" s="4">
        <v>3</v>
      </c>
      <c r="I294" s="5" t="s">
        <v>256</v>
      </c>
      <c r="J294" s="5" t="s">
        <v>51</v>
      </c>
    </row>
    <row r="295" spans="1:10" x14ac:dyDescent="0.3">
      <c r="A295" s="10">
        <v>1985</v>
      </c>
      <c r="B295" s="11" t="s">
        <v>743</v>
      </c>
      <c r="C295" s="12" t="s">
        <v>388</v>
      </c>
      <c r="D295" s="13" t="s">
        <v>744</v>
      </c>
      <c r="E295" s="3" t="s">
        <v>50</v>
      </c>
      <c r="F295" s="2"/>
      <c r="G295" s="2" t="s">
        <v>897</v>
      </c>
      <c r="H295" s="4">
        <v>3</v>
      </c>
      <c r="I295" s="5" t="s">
        <v>99</v>
      </c>
      <c r="J295" s="5" t="s">
        <v>51</v>
      </c>
    </row>
    <row r="296" spans="1:10" x14ac:dyDescent="0.3">
      <c r="A296" s="10">
        <v>1986</v>
      </c>
      <c r="B296" s="11" t="s">
        <v>745</v>
      </c>
      <c r="C296" s="12" t="s">
        <v>746</v>
      </c>
      <c r="D296" s="13" t="s">
        <v>747</v>
      </c>
      <c r="E296" s="3" t="s">
        <v>50</v>
      </c>
      <c r="F296" s="2"/>
      <c r="G296" s="2" t="s">
        <v>897</v>
      </c>
      <c r="H296" s="4">
        <v>3</v>
      </c>
      <c r="I296" s="5" t="s">
        <v>230</v>
      </c>
      <c r="J296" s="5" t="s">
        <v>51</v>
      </c>
    </row>
    <row r="297" spans="1:10" x14ac:dyDescent="0.3">
      <c r="A297" s="10">
        <v>1987</v>
      </c>
      <c r="B297" s="11" t="s">
        <v>748</v>
      </c>
      <c r="C297" s="12" t="s">
        <v>749</v>
      </c>
      <c r="D297" s="13" t="s">
        <v>750</v>
      </c>
      <c r="E297" s="3" t="s">
        <v>50</v>
      </c>
      <c r="F297" s="2"/>
      <c r="G297" s="2" t="s">
        <v>899</v>
      </c>
      <c r="H297" s="4">
        <v>3</v>
      </c>
      <c r="I297" s="5" t="s">
        <v>168</v>
      </c>
      <c r="J297" s="5" t="s">
        <v>169</v>
      </c>
    </row>
    <row r="298" spans="1:10" x14ac:dyDescent="0.3">
      <c r="A298" s="10" t="s">
        <v>751</v>
      </c>
      <c r="B298" s="11" t="s">
        <v>752</v>
      </c>
      <c r="C298" s="12" t="s">
        <v>604</v>
      </c>
      <c r="D298" s="13" t="s">
        <v>753</v>
      </c>
      <c r="E298" s="3" t="s">
        <v>50</v>
      </c>
      <c r="F298" s="2"/>
      <c r="G298" s="2" t="s">
        <v>898</v>
      </c>
      <c r="H298" s="4">
        <v>1</v>
      </c>
      <c r="I298" s="5" t="s">
        <v>87</v>
      </c>
      <c r="J298" s="5" t="s">
        <v>111</v>
      </c>
    </row>
    <row r="299" spans="1:10" x14ac:dyDescent="0.3">
      <c r="A299" s="10" t="s">
        <v>751</v>
      </c>
      <c r="B299" s="11" t="s">
        <v>754</v>
      </c>
      <c r="C299" s="12" t="s">
        <v>26</v>
      </c>
      <c r="D299" s="13" t="s">
        <v>755</v>
      </c>
      <c r="E299" s="3" t="s">
        <v>15</v>
      </c>
      <c r="F299" s="2" t="s">
        <v>28</v>
      </c>
      <c r="G299" s="2"/>
      <c r="H299" s="4"/>
      <c r="I299" s="5"/>
      <c r="J299" s="5"/>
    </row>
    <row r="300" spans="1:10" x14ac:dyDescent="0.3">
      <c r="A300" s="10">
        <v>1988</v>
      </c>
      <c r="B300" s="11" t="s">
        <v>756</v>
      </c>
      <c r="C300" s="12" t="s">
        <v>109</v>
      </c>
      <c r="D300" s="13" t="s">
        <v>757</v>
      </c>
      <c r="E300" s="3" t="s">
        <v>50</v>
      </c>
      <c r="F300" s="2"/>
      <c r="G300" s="2" t="s">
        <v>898</v>
      </c>
      <c r="H300" s="4">
        <v>3</v>
      </c>
      <c r="I300" s="5" t="s">
        <v>111</v>
      </c>
      <c r="J300" s="5" t="s">
        <v>132</v>
      </c>
    </row>
    <row r="301" spans="1:10" x14ac:dyDescent="0.3">
      <c r="A301" s="10">
        <v>1988</v>
      </c>
      <c r="B301" s="11" t="s">
        <v>758</v>
      </c>
      <c r="C301" s="12" t="s">
        <v>235</v>
      </c>
      <c r="D301" s="13" t="s">
        <v>759</v>
      </c>
      <c r="E301" s="3" t="s">
        <v>50</v>
      </c>
      <c r="F301" s="2"/>
      <c r="G301" s="2" t="s">
        <v>899</v>
      </c>
      <c r="H301" s="4">
        <v>3</v>
      </c>
      <c r="I301" s="5" t="s">
        <v>111</v>
      </c>
      <c r="J301" s="5" t="s">
        <v>169</v>
      </c>
    </row>
    <row r="302" spans="1:10" x14ac:dyDescent="0.3">
      <c r="A302" s="10">
        <v>1989</v>
      </c>
      <c r="B302" s="11" t="s">
        <v>760</v>
      </c>
      <c r="C302" s="12" t="s">
        <v>607</v>
      </c>
      <c r="D302" s="13" t="s">
        <v>761</v>
      </c>
      <c r="E302" s="3" t="s">
        <v>50</v>
      </c>
      <c r="F302" s="2"/>
      <c r="G302" s="2" t="s">
        <v>898</v>
      </c>
      <c r="H302" s="4">
        <v>3</v>
      </c>
      <c r="I302" s="5" t="s">
        <v>256</v>
      </c>
      <c r="J302" s="5" t="s">
        <v>51</v>
      </c>
    </row>
    <row r="303" spans="1:10" x14ac:dyDescent="0.3">
      <c r="A303" s="10">
        <v>1989</v>
      </c>
      <c r="B303" s="11" t="s">
        <v>762</v>
      </c>
      <c r="C303" s="12" t="s">
        <v>68</v>
      </c>
      <c r="D303" s="13" t="s">
        <v>763</v>
      </c>
      <c r="E303" s="3" t="s">
        <v>50</v>
      </c>
      <c r="F303" s="2"/>
      <c r="G303" s="2" t="s">
        <v>897</v>
      </c>
      <c r="H303" s="4">
        <v>1</v>
      </c>
      <c r="I303" s="5" t="s">
        <v>51</v>
      </c>
      <c r="J303" s="5" t="s">
        <v>51</v>
      </c>
    </row>
    <row r="304" spans="1:10" x14ac:dyDescent="0.3">
      <c r="A304" s="10">
        <v>1989</v>
      </c>
      <c r="B304" s="11" t="s">
        <v>764</v>
      </c>
      <c r="C304" s="12" t="s">
        <v>45</v>
      </c>
      <c r="D304" s="13" t="s">
        <v>765</v>
      </c>
      <c r="E304" s="3" t="s">
        <v>15</v>
      </c>
      <c r="F304" s="2" t="s">
        <v>28</v>
      </c>
      <c r="G304" s="2"/>
      <c r="H304" s="4"/>
      <c r="I304" s="5"/>
      <c r="J304" s="5"/>
    </row>
    <row r="305" spans="1:10" x14ac:dyDescent="0.3">
      <c r="A305" s="10">
        <v>1989</v>
      </c>
      <c r="B305" s="11" t="s">
        <v>766</v>
      </c>
      <c r="C305" s="12" t="s">
        <v>26</v>
      </c>
      <c r="D305" s="13" t="s">
        <v>767</v>
      </c>
      <c r="E305" s="3" t="s">
        <v>15</v>
      </c>
      <c r="F305" s="2" t="s">
        <v>28</v>
      </c>
      <c r="G305" s="2"/>
      <c r="H305" s="4"/>
      <c r="I305" s="5"/>
      <c r="J305" s="5"/>
    </row>
    <row r="306" spans="1:10" x14ac:dyDescent="0.3">
      <c r="A306" s="10">
        <v>1989</v>
      </c>
      <c r="B306" s="11" t="s">
        <v>768</v>
      </c>
      <c r="C306" s="12" t="s">
        <v>617</v>
      </c>
      <c r="D306" s="13" t="s">
        <v>769</v>
      </c>
      <c r="E306" s="3" t="s">
        <v>50</v>
      </c>
      <c r="F306" s="2"/>
      <c r="G306" s="2" t="s">
        <v>898</v>
      </c>
      <c r="H306" s="4">
        <v>3</v>
      </c>
      <c r="I306" s="5" t="s">
        <v>256</v>
      </c>
      <c r="J306" s="5" t="s">
        <v>51</v>
      </c>
    </row>
    <row r="307" spans="1:10" x14ac:dyDescent="0.3">
      <c r="A307" s="10">
        <v>1989</v>
      </c>
      <c r="B307" s="11" t="s">
        <v>770</v>
      </c>
      <c r="C307" s="12" t="s">
        <v>617</v>
      </c>
      <c r="D307" s="13" t="s">
        <v>771</v>
      </c>
      <c r="E307" s="3" t="s">
        <v>50</v>
      </c>
      <c r="F307" s="2"/>
      <c r="G307" s="2" t="s">
        <v>898</v>
      </c>
      <c r="H307" s="4">
        <v>3</v>
      </c>
      <c r="I307" s="5" t="s">
        <v>256</v>
      </c>
      <c r="J307" s="5" t="s">
        <v>51</v>
      </c>
    </row>
    <row r="308" spans="1:10" x14ac:dyDescent="0.3">
      <c r="A308" s="10">
        <v>1989</v>
      </c>
      <c r="B308" s="11" t="s">
        <v>772</v>
      </c>
      <c r="C308" s="12" t="s">
        <v>773</v>
      </c>
      <c r="D308" s="13" t="s">
        <v>774</v>
      </c>
      <c r="E308" s="3" t="s">
        <v>50</v>
      </c>
      <c r="F308" s="2"/>
      <c r="G308" s="2" t="s">
        <v>898</v>
      </c>
      <c r="H308" s="4">
        <v>3</v>
      </c>
      <c r="I308" s="5" t="s">
        <v>256</v>
      </c>
      <c r="J308" s="5" t="s">
        <v>51</v>
      </c>
    </row>
    <row r="309" spans="1:10" x14ac:dyDescent="0.3">
      <c r="A309" s="10">
        <v>1990</v>
      </c>
      <c r="B309" s="11" t="s">
        <v>775</v>
      </c>
      <c r="C309" s="12" t="s">
        <v>26</v>
      </c>
      <c r="D309" s="13" t="s">
        <v>776</v>
      </c>
      <c r="E309" s="3" t="s">
        <v>15</v>
      </c>
      <c r="F309" s="2" t="s">
        <v>28</v>
      </c>
      <c r="G309" s="2"/>
      <c r="H309" s="4"/>
      <c r="I309" s="5"/>
      <c r="J309" s="5"/>
    </row>
    <row r="310" spans="1:10" x14ac:dyDescent="0.3">
      <c r="A310" s="10">
        <v>1990</v>
      </c>
      <c r="B310" s="11" t="s">
        <v>777</v>
      </c>
      <c r="C310" s="12" t="s">
        <v>778</v>
      </c>
      <c r="D310" s="13" t="s">
        <v>779</v>
      </c>
      <c r="E310" s="3" t="s">
        <v>50</v>
      </c>
      <c r="F310" s="2"/>
      <c r="G310" s="2" t="s">
        <v>897</v>
      </c>
      <c r="H310" s="4">
        <v>3</v>
      </c>
      <c r="I310" s="5" t="s">
        <v>99</v>
      </c>
      <c r="J310" s="5" t="s">
        <v>51</v>
      </c>
    </row>
    <row r="311" spans="1:10" x14ac:dyDescent="0.3">
      <c r="A311" s="10">
        <v>1991</v>
      </c>
      <c r="B311" s="11" t="s">
        <v>780</v>
      </c>
      <c r="C311" s="12" t="s">
        <v>781</v>
      </c>
      <c r="D311" s="13" t="s">
        <v>782</v>
      </c>
      <c r="E311" s="3" t="s">
        <v>50</v>
      </c>
      <c r="F311" s="2"/>
      <c r="G311" s="2" t="s">
        <v>898</v>
      </c>
      <c r="H311" s="4">
        <v>3</v>
      </c>
      <c r="I311" s="5" t="s">
        <v>99</v>
      </c>
      <c r="J311" s="5" t="s">
        <v>132</v>
      </c>
    </row>
    <row r="312" spans="1:10" x14ac:dyDescent="0.3">
      <c r="A312" s="10">
        <v>1991</v>
      </c>
      <c r="B312" s="11" t="s">
        <v>783</v>
      </c>
      <c r="C312" s="12" t="s">
        <v>26</v>
      </c>
      <c r="D312" s="13" t="s">
        <v>784</v>
      </c>
      <c r="E312" s="3" t="s">
        <v>15</v>
      </c>
      <c r="F312" s="2" t="s">
        <v>28</v>
      </c>
      <c r="G312" s="2"/>
      <c r="H312" s="4"/>
      <c r="I312" s="5"/>
      <c r="J312" s="5"/>
    </row>
    <row r="313" spans="1:10" x14ac:dyDescent="0.3">
      <c r="A313" s="10">
        <v>1991</v>
      </c>
      <c r="B313" s="11" t="s">
        <v>785</v>
      </c>
      <c r="C313" s="12" t="s">
        <v>97</v>
      </c>
      <c r="D313" s="13" t="s">
        <v>786</v>
      </c>
      <c r="E313" s="3" t="s">
        <v>50</v>
      </c>
      <c r="F313" s="2"/>
      <c r="G313" s="2" t="s">
        <v>898</v>
      </c>
      <c r="H313" s="4">
        <v>3</v>
      </c>
      <c r="I313" s="5" t="s">
        <v>99</v>
      </c>
      <c r="J313" s="5" t="s">
        <v>51</v>
      </c>
    </row>
    <row r="314" spans="1:10" x14ac:dyDescent="0.3">
      <c r="A314" s="10">
        <v>1992</v>
      </c>
      <c r="B314" s="11" t="s">
        <v>787</v>
      </c>
      <c r="C314" s="12" t="s">
        <v>788</v>
      </c>
      <c r="D314" s="13" t="s">
        <v>789</v>
      </c>
      <c r="E314" s="3" t="s">
        <v>50</v>
      </c>
      <c r="F314" s="2"/>
      <c r="G314" s="2" t="s">
        <v>898</v>
      </c>
      <c r="H314" s="4">
        <v>1</v>
      </c>
      <c r="I314" s="5" t="s">
        <v>168</v>
      </c>
      <c r="J314" s="5" t="s">
        <v>111</v>
      </c>
    </row>
    <row r="315" spans="1:10" x14ac:dyDescent="0.3">
      <c r="A315" s="10">
        <v>1992</v>
      </c>
      <c r="B315" s="11" t="s">
        <v>790</v>
      </c>
      <c r="C315" s="12" t="s">
        <v>791</v>
      </c>
      <c r="D315" s="13" t="s">
        <v>792</v>
      </c>
      <c r="E315" s="3" t="s">
        <v>50</v>
      </c>
      <c r="F315" s="2"/>
      <c r="G315" s="2" t="s">
        <v>898</v>
      </c>
      <c r="H315" s="4">
        <v>1</v>
      </c>
      <c r="I315" s="5" t="s">
        <v>408</v>
      </c>
      <c r="J315" s="5" t="s">
        <v>111</v>
      </c>
    </row>
    <row r="316" spans="1:10" x14ac:dyDescent="0.3">
      <c r="A316" s="10">
        <v>1992</v>
      </c>
      <c r="B316" s="11" t="s">
        <v>793</v>
      </c>
      <c r="C316" s="12" t="s">
        <v>794</v>
      </c>
      <c r="D316" s="13" t="s">
        <v>795</v>
      </c>
      <c r="E316" s="3" t="s">
        <v>50</v>
      </c>
      <c r="F316" s="2"/>
      <c r="G316" s="2" t="s">
        <v>897</v>
      </c>
      <c r="H316" s="4">
        <v>2</v>
      </c>
      <c r="I316" s="5" t="s">
        <v>99</v>
      </c>
      <c r="J316" s="5" t="s">
        <v>51</v>
      </c>
    </row>
    <row r="317" spans="1:10" x14ac:dyDescent="0.3">
      <c r="A317" s="10">
        <v>1992</v>
      </c>
      <c r="B317" s="11" t="s">
        <v>796</v>
      </c>
      <c r="C317" s="12" t="s">
        <v>797</v>
      </c>
      <c r="D317" s="13" t="s">
        <v>798</v>
      </c>
      <c r="E317" s="3" t="s">
        <v>50</v>
      </c>
      <c r="F317" s="2"/>
      <c r="G317" s="2" t="s">
        <v>898</v>
      </c>
      <c r="H317" s="4">
        <v>3</v>
      </c>
      <c r="I317" s="5" t="s">
        <v>256</v>
      </c>
      <c r="J317" s="5" t="s">
        <v>51</v>
      </c>
    </row>
    <row r="318" spans="1:10" x14ac:dyDescent="0.3">
      <c r="A318" s="10">
        <v>1992</v>
      </c>
      <c r="B318" s="11" t="s">
        <v>799</v>
      </c>
      <c r="C318" s="12" t="s">
        <v>331</v>
      </c>
      <c r="D318" s="13" t="s">
        <v>800</v>
      </c>
      <c r="E318" s="3" t="s">
        <v>50</v>
      </c>
      <c r="F318" s="2"/>
      <c r="G318" s="2" t="s">
        <v>898</v>
      </c>
      <c r="H318" s="4">
        <v>3</v>
      </c>
      <c r="I318" s="5" t="s">
        <v>256</v>
      </c>
      <c r="J318" s="5" t="s">
        <v>132</v>
      </c>
    </row>
    <row r="319" spans="1:10" x14ac:dyDescent="0.3">
      <c r="A319" s="10">
        <v>1992</v>
      </c>
      <c r="B319" s="11" t="s">
        <v>801</v>
      </c>
      <c r="C319" s="12" t="s">
        <v>331</v>
      </c>
      <c r="D319" s="13" t="s">
        <v>802</v>
      </c>
      <c r="E319" s="3" t="s">
        <v>50</v>
      </c>
      <c r="F319" s="2"/>
      <c r="G319" s="2" t="s">
        <v>897</v>
      </c>
      <c r="H319" s="4">
        <v>3</v>
      </c>
      <c r="I319" s="5" t="s">
        <v>256</v>
      </c>
      <c r="J319" s="5" t="s">
        <v>51</v>
      </c>
    </row>
    <row r="320" spans="1:10" x14ac:dyDescent="0.3">
      <c r="A320" s="10">
        <v>1992</v>
      </c>
      <c r="B320" s="11" t="s">
        <v>803</v>
      </c>
      <c r="C320" s="12" t="s">
        <v>331</v>
      </c>
      <c r="D320" s="13" t="s">
        <v>804</v>
      </c>
      <c r="E320" s="3" t="s">
        <v>50</v>
      </c>
      <c r="F320" s="2"/>
      <c r="G320" s="2" t="s">
        <v>898</v>
      </c>
      <c r="H320" s="4">
        <v>3</v>
      </c>
      <c r="I320" s="5" t="s">
        <v>256</v>
      </c>
      <c r="J320" s="5" t="s">
        <v>51</v>
      </c>
    </row>
    <row r="321" spans="1:10" x14ac:dyDescent="0.3">
      <c r="A321" s="10">
        <v>1992</v>
      </c>
      <c r="B321" s="11" t="s">
        <v>805</v>
      </c>
      <c r="C321" s="12" t="s">
        <v>331</v>
      </c>
      <c r="D321" s="13" t="s">
        <v>806</v>
      </c>
      <c r="E321" s="3" t="s">
        <v>50</v>
      </c>
      <c r="F321" s="2"/>
      <c r="G321" s="2" t="s">
        <v>898</v>
      </c>
      <c r="H321" s="4">
        <v>3</v>
      </c>
      <c r="I321" s="5" t="s">
        <v>256</v>
      </c>
      <c r="J321" s="5" t="s">
        <v>51</v>
      </c>
    </row>
    <row r="322" spans="1:10" x14ac:dyDescent="0.3">
      <c r="A322" s="10">
        <v>1992</v>
      </c>
      <c r="B322" s="11" t="s">
        <v>807</v>
      </c>
      <c r="C322" s="12" t="s">
        <v>258</v>
      </c>
      <c r="D322" s="13" t="s">
        <v>808</v>
      </c>
      <c r="E322" s="3" t="s">
        <v>50</v>
      </c>
      <c r="F322" s="2"/>
      <c r="G322" s="2" t="s">
        <v>898</v>
      </c>
      <c r="H322" s="4">
        <v>1</v>
      </c>
      <c r="I322" s="5" t="s">
        <v>51</v>
      </c>
      <c r="J322" s="5" t="s">
        <v>132</v>
      </c>
    </row>
    <row r="323" spans="1:10" x14ac:dyDescent="0.3">
      <c r="A323" s="10">
        <v>1992</v>
      </c>
      <c r="B323" s="11" t="s">
        <v>809</v>
      </c>
      <c r="C323" s="12" t="s">
        <v>331</v>
      </c>
      <c r="D323" s="13" t="s">
        <v>810</v>
      </c>
      <c r="E323" s="3" t="s">
        <v>50</v>
      </c>
      <c r="F323" s="2"/>
      <c r="G323" s="2" t="s">
        <v>898</v>
      </c>
      <c r="H323" s="4">
        <v>3</v>
      </c>
      <c r="I323" s="5" t="s">
        <v>256</v>
      </c>
      <c r="J323" s="5" t="s">
        <v>111</v>
      </c>
    </row>
    <row r="324" spans="1:10" x14ac:dyDescent="0.3">
      <c r="A324" s="10">
        <v>1992</v>
      </c>
      <c r="B324" s="11" t="s">
        <v>811</v>
      </c>
      <c r="C324" s="12" t="s">
        <v>331</v>
      </c>
      <c r="D324" s="13" t="s">
        <v>812</v>
      </c>
      <c r="E324" s="3" t="s">
        <v>50</v>
      </c>
      <c r="F324" s="2"/>
      <c r="G324" s="2" t="s">
        <v>898</v>
      </c>
      <c r="H324" s="4">
        <v>3</v>
      </c>
      <c r="I324" s="5" t="s">
        <v>256</v>
      </c>
      <c r="J324" s="5" t="s">
        <v>132</v>
      </c>
    </row>
    <row r="325" spans="1:10" x14ac:dyDescent="0.3">
      <c r="A325" s="10">
        <v>1992</v>
      </c>
      <c r="B325" s="11" t="s">
        <v>813</v>
      </c>
      <c r="C325" s="12" t="s">
        <v>331</v>
      </c>
      <c r="D325" s="13" t="s">
        <v>814</v>
      </c>
      <c r="E325" s="3" t="s">
        <v>50</v>
      </c>
      <c r="F325" s="2"/>
      <c r="G325" s="2" t="s">
        <v>898</v>
      </c>
      <c r="H325" s="4">
        <v>3</v>
      </c>
      <c r="I325" s="5" t="s">
        <v>256</v>
      </c>
      <c r="J325" s="5" t="s">
        <v>51</v>
      </c>
    </row>
    <row r="326" spans="1:10" x14ac:dyDescent="0.3">
      <c r="A326" s="10">
        <v>1994</v>
      </c>
      <c r="B326" s="11" t="s">
        <v>815</v>
      </c>
      <c r="C326" s="12" t="s">
        <v>533</v>
      </c>
      <c r="D326" s="13" t="s">
        <v>816</v>
      </c>
      <c r="E326" s="3" t="s">
        <v>50</v>
      </c>
      <c r="F326" s="2"/>
      <c r="G326" s="2" t="s">
        <v>898</v>
      </c>
      <c r="H326" s="4">
        <v>3</v>
      </c>
      <c r="I326" s="5" t="s">
        <v>256</v>
      </c>
      <c r="J326" s="5" t="s">
        <v>51</v>
      </c>
    </row>
    <row r="327" spans="1:10" x14ac:dyDescent="0.3">
      <c r="A327" s="10">
        <v>2002</v>
      </c>
      <c r="B327" s="11" t="s">
        <v>817</v>
      </c>
      <c r="C327" s="12" t="s">
        <v>331</v>
      </c>
      <c r="D327" s="13" t="s">
        <v>818</v>
      </c>
      <c r="E327" s="3" t="s">
        <v>50</v>
      </c>
      <c r="F327" s="2"/>
      <c r="G327" s="2" t="s">
        <v>898</v>
      </c>
      <c r="H327" s="4">
        <v>3</v>
      </c>
      <c r="I327" s="5" t="s">
        <v>256</v>
      </c>
      <c r="J327" s="5" t="s">
        <v>51</v>
      </c>
    </row>
    <row r="328" spans="1:10" x14ac:dyDescent="0.3">
      <c r="A328" s="10">
        <v>2003</v>
      </c>
      <c r="B328" s="11" t="s">
        <v>819</v>
      </c>
      <c r="C328" s="12" t="s">
        <v>820</v>
      </c>
      <c r="D328" s="13" t="s">
        <v>821</v>
      </c>
      <c r="E328" s="3" t="s">
        <v>50</v>
      </c>
      <c r="F328" s="2"/>
      <c r="G328" s="2" t="s">
        <v>898</v>
      </c>
      <c r="H328" s="4">
        <v>3</v>
      </c>
      <c r="I328" s="5" t="s">
        <v>256</v>
      </c>
      <c r="J328" s="5" t="s">
        <v>51</v>
      </c>
    </row>
    <row r="329" spans="1:10" x14ac:dyDescent="0.3">
      <c r="A329" s="10">
        <v>2003</v>
      </c>
      <c r="B329" s="11" t="s">
        <v>822</v>
      </c>
      <c r="C329" s="12" t="s">
        <v>823</v>
      </c>
      <c r="D329" s="13" t="s">
        <v>824</v>
      </c>
      <c r="E329" s="3" t="s">
        <v>50</v>
      </c>
      <c r="F329" s="2"/>
      <c r="G329" s="2" t="s">
        <v>898</v>
      </c>
      <c r="H329" s="4">
        <v>1</v>
      </c>
      <c r="I329" s="5" t="s">
        <v>51</v>
      </c>
      <c r="J329" s="5" t="s">
        <v>132</v>
      </c>
    </row>
    <row r="330" spans="1:10" x14ac:dyDescent="0.3">
      <c r="A330" s="10">
        <v>2003</v>
      </c>
      <c r="B330" s="11" t="s">
        <v>825</v>
      </c>
      <c r="C330" s="12" t="s">
        <v>826</v>
      </c>
      <c r="D330" s="13" t="s">
        <v>827</v>
      </c>
      <c r="E330" s="3" t="s">
        <v>50</v>
      </c>
      <c r="F330" s="2"/>
      <c r="G330" s="2" t="s">
        <v>898</v>
      </c>
      <c r="H330" s="4">
        <v>3</v>
      </c>
      <c r="I330" s="5" t="s">
        <v>256</v>
      </c>
      <c r="J330" s="5" t="s">
        <v>230</v>
      </c>
    </row>
    <row r="331" spans="1:10" x14ac:dyDescent="0.3">
      <c r="A331" s="10">
        <v>2004</v>
      </c>
      <c r="B331" s="11" t="s">
        <v>828</v>
      </c>
      <c r="C331" s="12" t="s">
        <v>604</v>
      </c>
      <c r="D331" s="13" t="s">
        <v>829</v>
      </c>
      <c r="E331" s="3" t="s">
        <v>50</v>
      </c>
      <c r="F331" s="2"/>
      <c r="G331" s="2" t="s">
        <v>897</v>
      </c>
      <c r="H331" s="4">
        <v>1</v>
      </c>
      <c r="I331" s="5" t="s">
        <v>87</v>
      </c>
      <c r="J331" s="5" t="s">
        <v>51</v>
      </c>
    </row>
    <row r="332" spans="1:10" x14ac:dyDescent="0.3">
      <c r="A332" s="10">
        <v>2004</v>
      </c>
      <c r="B332" s="11" t="s">
        <v>830</v>
      </c>
      <c r="C332" s="12" t="s">
        <v>831</v>
      </c>
      <c r="D332" s="13" t="s">
        <v>832</v>
      </c>
      <c r="E332" s="3" t="s">
        <v>50</v>
      </c>
      <c r="F332" s="2"/>
      <c r="G332" s="2" t="s">
        <v>898</v>
      </c>
      <c r="H332" s="4">
        <v>1</v>
      </c>
      <c r="I332" s="5" t="s">
        <v>51</v>
      </c>
      <c r="J332" s="5" t="s">
        <v>99</v>
      </c>
    </row>
    <row r="333" spans="1:10" x14ac:dyDescent="0.3">
      <c r="A333" s="10">
        <v>2005</v>
      </c>
      <c r="B333" s="11" t="s">
        <v>833</v>
      </c>
      <c r="C333" s="12" t="s">
        <v>834</v>
      </c>
      <c r="D333" s="13" t="s">
        <v>835</v>
      </c>
      <c r="E333" s="3" t="s">
        <v>50</v>
      </c>
      <c r="F333" s="2"/>
      <c r="G333" s="2" t="s">
        <v>898</v>
      </c>
      <c r="H333" s="4">
        <v>3</v>
      </c>
      <c r="I333" s="5" t="s">
        <v>230</v>
      </c>
      <c r="J333" s="5" t="s">
        <v>87</v>
      </c>
    </row>
    <row r="334" spans="1:10" x14ac:dyDescent="0.3">
      <c r="A334" s="10">
        <v>2005</v>
      </c>
      <c r="B334" s="11" t="s">
        <v>836</v>
      </c>
      <c r="C334" s="12" t="s">
        <v>97</v>
      </c>
      <c r="D334" s="13" t="s">
        <v>837</v>
      </c>
      <c r="E334" s="3" t="s">
        <v>50</v>
      </c>
      <c r="F334" s="2"/>
      <c r="G334" s="2" t="s">
        <v>898</v>
      </c>
      <c r="H334" s="4">
        <v>3</v>
      </c>
      <c r="I334" s="5" t="s">
        <v>99</v>
      </c>
      <c r="J334" s="5" t="s">
        <v>51</v>
      </c>
    </row>
    <row r="335" spans="1:10" x14ac:dyDescent="0.3">
      <c r="A335" s="10">
        <v>2007</v>
      </c>
      <c r="B335" s="11" t="s">
        <v>838</v>
      </c>
      <c r="C335" s="12" t="s">
        <v>839</v>
      </c>
      <c r="D335" s="13" t="s">
        <v>840</v>
      </c>
      <c r="E335" s="3" t="s">
        <v>50</v>
      </c>
      <c r="F335" s="2"/>
      <c r="G335" s="2" t="s">
        <v>898</v>
      </c>
      <c r="H335" s="4">
        <v>3</v>
      </c>
      <c r="I335" s="5" t="s">
        <v>111</v>
      </c>
      <c r="J335" s="5" t="s">
        <v>132</v>
      </c>
    </row>
    <row r="336" spans="1:10" x14ac:dyDescent="0.3">
      <c r="A336" s="10">
        <v>2007</v>
      </c>
      <c r="B336" s="11" t="s">
        <v>841</v>
      </c>
      <c r="C336" s="12" t="s">
        <v>842</v>
      </c>
      <c r="D336" s="13" t="s">
        <v>843</v>
      </c>
      <c r="E336" s="3" t="s">
        <v>50</v>
      </c>
      <c r="F336" s="2"/>
      <c r="G336" s="2" t="s">
        <v>898</v>
      </c>
      <c r="H336" s="4">
        <v>3</v>
      </c>
      <c r="I336" s="5" t="s">
        <v>132</v>
      </c>
      <c r="J336" s="5" t="s">
        <v>111</v>
      </c>
    </row>
    <row r="337" spans="1:10" x14ac:dyDescent="0.3">
      <c r="A337" s="10">
        <v>2007</v>
      </c>
      <c r="B337" s="11" t="s">
        <v>844</v>
      </c>
      <c r="C337" s="12" t="s">
        <v>845</v>
      </c>
      <c r="D337" s="13" t="s">
        <v>846</v>
      </c>
      <c r="E337" s="3" t="s">
        <v>50</v>
      </c>
      <c r="F337" s="2"/>
      <c r="G337" s="2" t="s">
        <v>898</v>
      </c>
      <c r="H337" s="4">
        <v>1</v>
      </c>
      <c r="I337" s="5" t="s">
        <v>51</v>
      </c>
      <c r="J337" s="5" t="s">
        <v>99</v>
      </c>
    </row>
    <row r="338" spans="1:10" x14ac:dyDescent="0.3">
      <c r="A338" s="10">
        <v>2007</v>
      </c>
      <c r="B338" s="11" t="s">
        <v>847</v>
      </c>
      <c r="C338" s="12" t="s">
        <v>406</v>
      </c>
      <c r="D338" s="13" t="s">
        <v>848</v>
      </c>
      <c r="E338" s="3" t="s">
        <v>50</v>
      </c>
      <c r="F338" s="2"/>
      <c r="G338" s="2" t="s">
        <v>898</v>
      </c>
      <c r="H338" s="4">
        <v>1</v>
      </c>
      <c r="I338" s="5" t="s">
        <v>408</v>
      </c>
      <c r="J338" s="5" t="s">
        <v>51</v>
      </c>
    </row>
    <row r="339" spans="1:10" x14ac:dyDescent="0.3">
      <c r="A339" s="10">
        <v>2008</v>
      </c>
      <c r="B339" s="11" t="s">
        <v>849</v>
      </c>
      <c r="C339" s="12" t="s">
        <v>467</v>
      </c>
      <c r="D339" s="13" t="s">
        <v>850</v>
      </c>
      <c r="E339" s="3" t="s">
        <v>50</v>
      </c>
      <c r="F339" s="2"/>
      <c r="G339" s="2" t="s">
        <v>898</v>
      </c>
      <c r="H339" s="4">
        <v>3</v>
      </c>
      <c r="I339" s="5" t="s">
        <v>256</v>
      </c>
      <c r="J339" s="5" t="s">
        <v>132</v>
      </c>
    </row>
    <row r="340" spans="1:10" x14ac:dyDescent="0.3">
      <c r="A340" s="10">
        <v>2008</v>
      </c>
      <c r="B340" s="11" t="s">
        <v>851</v>
      </c>
      <c r="C340" s="12" t="s">
        <v>852</v>
      </c>
      <c r="D340" s="13" t="s">
        <v>853</v>
      </c>
      <c r="E340" s="3" t="s">
        <v>50</v>
      </c>
      <c r="F340" s="2"/>
      <c r="G340" s="2" t="s">
        <v>897</v>
      </c>
      <c r="H340" s="4">
        <v>1</v>
      </c>
      <c r="I340" s="5" t="s">
        <v>180</v>
      </c>
      <c r="J340" s="5" t="s">
        <v>51</v>
      </c>
    </row>
    <row r="341" spans="1:10" x14ac:dyDescent="0.3">
      <c r="A341" s="10">
        <v>2008</v>
      </c>
      <c r="B341" s="11" t="s">
        <v>854</v>
      </c>
      <c r="C341" s="12" t="s">
        <v>533</v>
      </c>
      <c r="D341" s="13" t="s">
        <v>855</v>
      </c>
      <c r="E341" s="3" t="s">
        <v>50</v>
      </c>
      <c r="F341" s="2"/>
      <c r="G341" s="2" t="s">
        <v>898</v>
      </c>
      <c r="H341" s="4">
        <v>3</v>
      </c>
      <c r="I341" s="5" t="s">
        <v>256</v>
      </c>
      <c r="J341" s="5" t="s">
        <v>111</v>
      </c>
    </row>
    <row r="342" spans="1:10" x14ac:dyDescent="0.3">
      <c r="A342" s="10">
        <v>2008</v>
      </c>
      <c r="B342" s="11" t="s">
        <v>856</v>
      </c>
      <c r="C342" s="12" t="s">
        <v>746</v>
      </c>
      <c r="D342" s="13" t="s">
        <v>857</v>
      </c>
      <c r="E342" s="3" t="s">
        <v>50</v>
      </c>
      <c r="F342" s="2"/>
      <c r="G342" s="2" t="s">
        <v>898</v>
      </c>
      <c r="H342" s="4">
        <v>3</v>
      </c>
      <c r="I342" s="5" t="s">
        <v>230</v>
      </c>
      <c r="J342" s="5" t="s">
        <v>230</v>
      </c>
    </row>
    <row r="343" spans="1:10" x14ac:dyDescent="0.3">
      <c r="A343" s="10">
        <v>2008</v>
      </c>
      <c r="B343" s="11" t="s">
        <v>858</v>
      </c>
      <c r="C343" s="12" t="s">
        <v>859</v>
      </c>
      <c r="D343" s="13" t="s">
        <v>860</v>
      </c>
      <c r="E343" s="3" t="s">
        <v>50</v>
      </c>
      <c r="F343" s="2"/>
      <c r="G343" s="2" t="s">
        <v>898</v>
      </c>
      <c r="H343" s="4">
        <v>1</v>
      </c>
      <c r="I343" s="5" t="s">
        <v>51</v>
      </c>
      <c r="J343" s="5" t="s">
        <v>230</v>
      </c>
    </row>
    <row r="344" spans="1:10" x14ac:dyDescent="0.3">
      <c r="A344" s="10">
        <v>2009</v>
      </c>
      <c r="B344" s="11" t="s">
        <v>861</v>
      </c>
      <c r="C344" s="12" t="s">
        <v>679</v>
      </c>
      <c r="D344" s="13" t="s">
        <v>862</v>
      </c>
      <c r="E344" s="3" t="s">
        <v>50</v>
      </c>
      <c r="F344" s="2"/>
      <c r="G344" s="2" t="s">
        <v>898</v>
      </c>
      <c r="H344" s="4">
        <v>3</v>
      </c>
      <c r="I344" s="5" t="s">
        <v>256</v>
      </c>
      <c r="J344" s="5" t="s">
        <v>111</v>
      </c>
    </row>
    <row r="345" spans="1:10" x14ac:dyDescent="0.3">
      <c r="A345" s="10">
        <v>2009</v>
      </c>
      <c r="B345" s="11" t="s">
        <v>863</v>
      </c>
      <c r="C345" s="12" t="s">
        <v>679</v>
      </c>
      <c r="D345" s="13" t="s">
        <v>864</v>
      </c>
      <c r="E345" s="3" t="s">
        <v>50</v>
      </c>
      <c r="F345" s="2"/>
      <c r="G345" s="2" t="s">
        <v>898</v>
      </c>
      <c r="H345" s="4">
        <v>3</v>
      </c>
      <c r="I345" s="5" t="s">
        <v>256</v>
      </c>
      <c r="J345" s="5" t="s">
        <v>99</v>
      </c>
    </row>
    <row r="346" spans="1:10" x14ac:dyDescent="0.3">
      <c r="A346" s="10">
        <v>2009</v>
      </c>
      <c r="B346" s="11" t="s">
        <v>865</v>
      </c>
      <c r="C346" s="12" t="s">
        <v>679</v>
      </c>
      <c r="D346" s="13" t="s">
        <v>866</v>
      </c>
      <c r="E346" s="3" t="s">
        <v>50</v>
      </c>
      <c r="F346" s="2"/>
      <c r="G346" s="2" t="s">
        <v>898</v>
      </c>
      <c r="H346" s="4">
        <v>3</v>
      </c>
      <c r="I346" s="5" t="s">
        <v>256</v>
      </c>
      <c r="J346" s="5" t="s">
        <v>111</v>
      </c>
    </row>
    <row r="347" spans="1:10" x14ac:dyDescent="0.3">
      <c r="A347" s="10">
        <v>2009</v>
      </c>
      <c r="B347" s="11" t="s">
        <v>867</v>
      </c>
      <c r="C347" s="12" t="s">
        <v>679</v>
      </c>
      <c r="D347" s="13" t="s">
        <v>868</v>
      </c>
      <c r="E347" s="3" t="s">
        <v>50</v>
      </c>
      <c r="F347" s="2"/>
      <c r="G347" s="2" t="s">
        <v>898</v>
      </c>
      <c r="H347" s="4">
        <v>3</v>
      </c>
      <c r="I347" s="5" t="s">
        <v>256</v>
      </c>
      <c r="J347" s="5" t="s">
        <v>738</v>
      </c>
    </row>
    <row r="348" spans="1:10" x14ac:dyDescent="0.3">
      <c r="A348" s="10">
        <v>2009</v>
      </c>
      <c r="B348" s="11" t="s">
        <v>869</v>
      </c>
      <c r="C348" s="12" t="s">
        <v>679</v>
      </c>
      <c r="D348" s="13" t="s">
        <v>870</v>
      </c>
      <c r="E348" s="3" t="s">
        <v>50</v>
      </c>
      <c r="F348" s="2"/>
      <c r="G348" s="2" t="s">
        <v>898</v>
      </c>
      <c r="H348" s="4">
        <v>3</v>
      </c>
      <c r="I348" s="5" t="s">
        <v>256</v>
      </c>
      <c r="J348" s="5" t="s">
        <v>132</v>
      </c>
    </row>
    <row r="349" spans="1:10" x14ac:dyDescent="0.3">
      <c r="A349" s="10">
        <v>2009</v>
      </c>
      <c r="B349" s="11" t="s">
        <v>871</v>
      </c>
      <c r="C349" s="12" t="s">
        <v>679</v>
      </c>
      <c r="D349" s="13" t="s">
        <v>872</v>
      </c>
      <c r="E349" s="3" t="s">
        <v>50</v>
      </c>
      <c r="F349" s="2"/>
      <c r="G349" s="2" t="s">
        <v>898</v>
      </c>
      <c r="H349" s="4">
        <v>3</v>
      </c>
      <c r="I349" s="5" t="s">
        <v>256</v>
      </c>
      <c r="J349" s="5" t="s">
        <v>168</v>
      </c>
    </row>
    <row r="350" spans="1:10" x14ac:dyDescent="0.3">
      <c r="A350" s="10">
        <v>2009</v>
      </c>
      <c r="B350" s="11" t="s">
        <v>873</v>
      </c>
      <c r="C350" s="12" t="s">
        <v>679</v>
      </c>
      <c r="D350" s="13" t="s">
        <v>874</v>
      </c>
      <c r="E350" s="3" t="s">
        <v>50</v>
      </c>
      <c r="F350" s="2"/>
      <c r="G350" s="2" t="s">
        <v>898</v>
      </c>
      <c r="H350" s="4">
        <v>3</v>
      </c>
      <c r="I350" s="5" t="s">
        <v>256</v>
      </c>
      <c r="J350" s="5" t="s">
        <v>230</v>
      </c>
    </row>
    <row r="351" spans="1:10" x14ac:dyDescent="0.3">
      <c r="A351" s="10">
        <v>2009</v>
      </c>
      <c r="B351" s="11" t="s">
        <v>875</v>
      </c>
      <c r="C351" s="12" t="s">
        <v>679</v>
      </c>
      <c r="D351" s="13" t="s">
        <v>876</v>
      </c>
      <c r="E351" s="3" t="s">
        <v>50</v>
      </c>
      <c r="F351" s="2"/>
      <c r="G351" s="2" t="s">
        <v>898</v>
      </c>
      <c r="H351" s="4">
        <v>3</v>
      </c>
      <c r="I351" s="5" t="s">
        <v>256</v>
      </c>
      <c r="J351" s="5" t="s">
        <v>738</v>
      </c>
    </row>
    <row r="352" spans="1:10" x14ac:dyDescent="0.3">
      <c r="A352" s="10">
        <v>2009</v>
      </c>
      <c r="B352" s="11" t="s">
        <v>877</v>
      </c>
      <c r="C352" s="12" t="s">
        <v>679</v>
      </c>
      <c r="D352" s="13" t="s">
        <v>878</v>
      </c>
      <c r="E352" s="3" t="s">
        <v>50</v>
      </c>
      <c r="F352" s="2"/>
      <c r="G352" s="2" t="s">
        <v>898</v>
      </c>
      <c r="H352" s="4">
        <v>3</v>
      </c>
      <c r="I352" s="5" t="s">
        <v>256</v>
      </c>
      <c r="J352" s="5" t="s">
        <v>51</v>
      </c>
    </row>
    <row r="353" spans="1:10" x14ac:dyDescent="0.3">
      <c r="A353" s="10">
        <v>2009</v>
      </c>
      <c r="B353" s="11" t="s">
        <v>879</v>
      </c>
      <c r="C353" s="12" t="s">
        <v>45</v>
      </c>
      <c r="D353" s="13" t="s">
        <v>880</v>
      </c>
      <c r="E353" s="3" t="s">
        <v>15</v>
      </c>
      <c r="F353" s="2" t="s">
        <v>28</v>
      </c>
      <c r="G353" s="2"/>
      <c r="H353" s="4"/>
      <c r="I353" s="5"/>
      <c r="J353" s="5"/>
    </row>
    <row r="354" spans="1:10" x14ac:dyDescent="0.3">
      <c r="A354" s="10">
        <v>2009</v>
      </c>
      <c r="B354" s="11" t="s">
        <v>881</v>
      </c>
      <c r="C354" s="12" t="s">
        <v>109</v>
      </c>
      <c r="D354" s="13" t="s">
        <v>882</v>
      </c>
      <c r="E354" s="3" t="s">
        <v>50</v>
      </c>
      <c r="F354" s="2"/>
      <c r="G354" s="2" t="s">
        <v>897</v>
      </c>
      <c r="H354" s="4">
        <v>3</v>
      </c>
      <c r="I354" s="5" t="s">
        <v>111</v>
      </c>
      <c r="J354" s="5" t="s">
        <v>51</v>
      </c>
    </row>
    <row r="355" spans="1:10" x14ac:dyDescent="0.3">
      <c r="A355" s="10">
        <v>2010</v>
      </c>
      <c r="B355" s="11" t="s">
        <v>883</v>
      </c>
      <c r="C355" s="12" t="s">
        <v>746</v>
      </c>
      <c r="D355" s="13" t="s">
        <v>884</v>
      </c>
      <c r="E355" s="3" t="s">
        <v>50</v>
      </c>
      <c r="F355" s="2"/>
      <c r="G355" s="2" t="s">
        <v>898</v>
      </c>
      <c r="H355" s="4">
        <v>3</v>
      </c>
      <c r="I355" s="5" t="s">
        <v>230</v>
      </c>
      <c r="J355" s="5" t="s">
        <v>885</v>
      </c>
    </row>
    <row r="356" spans="1:10" x14ac:dyDescent="0.3">
      <c r="A356" s="10">
        <v>2010</v>
      </c>
      <c r="B356" s="11" t="s">
        <v>886</v>
      </c>
      <c r="C356" s="12" t="s">
        <v>887</v>
      </c>
      <c r="D356" s="13" t="s">
        <v>888</v>
      </c>
      <c r="E356" s="3" t="s">
        <v>15</v>
      </c>
      <c r="F356" s="2" t="s">
        <v>16</v>
      </c>
      <c r="G356" s="2"/>
      <c r="H356" s="4"/>
      <c r="I356" s="5"/>
      <c r="J356" s="5"/>
    </row>
    <row r="357" spans="1:10" x14ac:dyDescent="0.3">
      <c r="A357" s="10">
        <v>2010</v>
      </c>
      <c r="B357" s="11" t="s">
        <v>889</v>
      </c>
      <c r="C357" s="12" t="s">
        <v>30</v>
      </c>
      <c r="D357" s="13" t="s">
        <v>890</v>
      </c>
      <c r="E357" s="3" t="s">
        <v>15</v>
      </c>
      <c r="F357" s="2" t="s">
        <v>16</v>
      </c>
      <c r="G357" s="2"/>
      <c r="H357" s="4"/>
      <c r="I357" s="5"/>
      <c r="J357" s="5"/>
    </row>
    <row r="358" spans="1:10" x14ac:dyDescent="0.3">
      <c r="A358" s="10">
        <v>2010</v>
      </c>
      <c r="B358" s="11" t="s">
        <v>891</v>
      </c>
      <c r="C358" s="12" t="s">
        <v>892</v>
      </c>
      <c r="D358" s="13" t="s">
        <v>893</v>
      </c>
      <c r="E358" s="3" t="s">
        <v>50</v>
      </c>
      <c r="F358" s="2"/>
      <c r="G358" s="2" t="s">
        <v>898</v>
      </c>
      <c r="H358" s="4">
        <v>2</v>
      </c>
      <c r="I358" s="5" t="s">
        <v>738</v>
      </c>
      <c r="J358" s="5" t="s">
        <v>99</v>
      </c>
    </row>
    <row r="359" spans="1:10" x14ac:dyDescent="0.3">
      <c r="A359" s="10">
        <v>2010</v>
      </c>
      <c r="B359" s="11" t="s">
        <v>894</v>
      </c>
      <c r="C359" s="12" t="s">
        <v>895</v>
      </c>
      <c r="D359" s="13" t="s">
        <v>896</v>
      </c>
      <c r="E359" s="3" t="s">
        <v>50</v>
      </c>
      <c r="F359" s="2"/>
      <c r="G359" s="2" t="s">
        <v>898</v>
      </c>
      <c r="H359" s="4">
        <v>3</v>
      </c>
      <c r="I359" s="5" t="s">
        <v>256</v>
      </c>
      <c r="J359" s="5" t="s">
        <v>132</v>
      </c>
    </row>
    <row r="360" spans="1:10" x14ac:dyDescent="0.3">
      <c r="A360" s="20"/>
    </row>
    <row r="361" spans="1:10" x14ac:dyDescent="0.3">
      <c r="A361" s="20"/>
    </row>
    <row r="362" spans="1:10" x14ac:dyDescent="0.3">
      <c r="A362" s="23"/>
    </row>
    <row r="363" spans="1:10" x14ac:dyDescent="0.3">
      <c r="A36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dcterms:created xsi:type="dcterms:W3CDTF">2026-03-27T18:31:11Z</dcterms:created>
  <dcterms:modified xsi:type="dcterms:W3CDTF">2026-04-01T23:05:23Z</dcterms:modified>
</cp:coreProperties>
</file>