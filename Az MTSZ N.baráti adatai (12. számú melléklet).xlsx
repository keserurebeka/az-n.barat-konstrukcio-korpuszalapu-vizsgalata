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27BB273E-B592-4A70-80D4-7147CBF914E8}" xr6:coauthVersionLast="47" xr6:coauthVersionMax="47" xr10:uidLastSave="{00000000-0000-0000-0000-000000000000}"/>
  <bookViews>
    <workbookView xWindow="-108" yWindow="-108" windowWidth="23256" windowHeight="12456" xr2:uid="{9F28CBC9-7001-4D7A-9AD9-308C316317B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5" i="1"/>
  <c r="I4" i="1"/>
</calcChain>
</file>

<file path=xl/sharedStrings.xml><?xml version="1.0" encoding="utf-8"?>
<sst xmlns="http://schemas.openxmlformats.org/spreadsheetml/2006/main" count="335" uniqueCount="210">
  <si>
    <t>1775,Csapó József</t>
  </si>
  <si>
    <t>gyomorra kötik . Nóta : Nemes Györ Vármegyében a '</t>
  </si>
  <si>
    <t>Nagybaráti</t>
  </si>
  <si>
    <t>mezön veres virágú Egér-fark füvet böven teremni</t>
  </si>
  <si>
    <t>1791,Jeney György</t>
  </si>
  <si>
    <t>munka mellett meg-izzadnak . De az ellenkezik a '</t>
  </si>
  <si>
    <t>Fele-baráti</t>
  </si>
  <si>
    <t>ſzeretettel tsak azokonn tartózúnk hát ſegíteni ,</t>
  </si>
  <si>
    <t>áldáſt tiſzteſſéget ' s betsűletet húzhatnának magokra</t>
  </si>
  <si>
    <t>fele-baráti</t>
  </si>
  <si>
    <t>ſzeretetekkel ; ha - - . Nem nagyobb-é pedig a '</t>
  </si>
  <si>
    <t>1819 e.,Nagyváthy János</t>
  </si>
  <si>
    <t>fel-igya . Ide gyertek az Öregségnek terhe alatt nyögö́ ,</t>
  </si>
  <si>
    <t>Koporsónak-baráti</t>
  </si>
  <si>
    <t>! itt a ' nyugodalmas nyoſzolya , meg elégedésnek</t>
  </si>
  <si>
    <t>1831,Zádor Elek</t>
  </si>
  <si>
    <t>Bedlam ) , tehetetlen katonák 2 háza ; több mint száz</t>
  </si>
  <si>
    <t>emberbaráti</t>
  </si>
  <si>
    <t>társaság , mindenféle inség , nyomoruság , és veszedelem</t>
  </si>
  <si>
    <t>azért hogy a ' hálátlan Chinát megbüntessék , a '</t>
  </si>
  <si>
    <t>theabaráti</t>
  </si>
  <si>
    <t>( azaz kik csupán theát isznak ) életmódját kelle</t>
  </si>
  <si>
    <t>1846,Kuthy Lajos</t>
  </si>
  <si>
    <t>megnemesíteni ; s ki azt orvosi érdemeinél fogva ,</t>
  </si>
  <si>
    <t>irgalmas híre , és hirhedt jótéteményi következtében</t>
  </si>
  <si>
    <t>1848,Vasvári Pál</t>
  </si>
  <si>
    <t>tartoznak , kiknek keblében sok világszerelmi , sok</t>
  </si>
  <si>
    <t>érzelem honol , de ezen érzelmek nincsenek kifejlesztve</t>
  </si>
  <si>
    <t>Hivatalos . FELSZÓLITÁS . Erdély nagyfejedelmsége</t>
  </si>
  <si>
    <t>lakóihoz . A gondviselés keze az elmult hónapban</t>
  </si>
  <si>
    <t>vidék segedelme , ha a több osztrák tartományok nemes</t>
  </si>
  <si>
    <t>is e keresztényi jámbor munkában részt nem vesznek</t>
  </si>
  <si>
    <t>felszólitlak : hogy a Visztula partjai melletti lakósoknak</t>
  </si>
  <si>
    <t>adományotokkal segitségökre lenni siessetek . Itt</t>
  </si>
  <si>
    <t>tétetik , hogy Major Zsuzsánna követelése folytán</t>
  </si>
  <si>
    <t>nagybaráti</t>
  </si>
  <si>
    <t>lakos Major Györgynek nagybaráti községben 128-ik</t>
  </si>
  <si>
    <t>követelése folytán nagybaráti lakos Major Györgynek</t>
  </si>
  <si>
    <t>községben 128-ik szám alatti háza és 2180 - 2182</t>
  </si>
  <si>
    <t>, követelése folytán a n . özv . Gyetvay Mihálynő</t>
  </si>
  <si>
    <t>kis-baráti</t>
  </si>
  <si>
    <t>lakosnak kis-baráti községben 1267 . és 1268 . h</t>
  </si>
  <si>
    <t>folytán a n . özv . Gyetvay Mihálynő kis-baráti lakosnak</t>
  </si>
  <si>
    <t>községben 1267 . és 1268 . h . r . sz . a . biróilag</t>
  </si>
  <si>
    <t>1862,Fáy András</t>
  </si>
  <si>
    <t>minden aristocratiai fészkelődések mellett , forró</t>
  </si>
  <si>
    <t>érzelemmel ajándékozta meg őt . Kiképeztetését ,</t>
  </si>
  <si>
    <t>A lengyelek nagyon keserüen panaszkodnak emiatt a</t>
  </si>
  <si>
    <t>lengyelbaráti</t>
  </si>
  <si>
    <t>angol parliamenti tagok előtt , s az angol kormányt</t>
  </si>
  <si>
    <t>1870,Vajda Viktor</t>
  </si>
  <si>
    <t>számukra menhelyeket , sőt gyakran éhen hagyjuk veszni .</t>
  </si>
  <si>
    <t>Emberbaráti</t>
  </si>
  <si>
    <t>intézményeket , philanthropiai intézeteket illetőleg</t>
  </si>
  <si>
    <t>1872,Toldy István</t>
  </si>
  <si>
    <t>fazék oly mélabús sóhajjal kísérte e szavakat , hogy</t>
  </si>
  <si>
    <t>kötelességemnek tartám e részvét nehány szavával</t>
  </si>
  <si>
    <t>1873,Toldy István</t>
  </si>
  <si>
    <t>olvasná például belső megindulás nélkül Charli jezsuita</t>
  </si>
  <si>
    <t>fohászkodását : » Van a természetnek számos oly homályos</t>
  </si>
  <si>
    <t>1878,Bászel Aurél</t>
  </si>
  <si>
    <t>az alattvalók javától sem tekinthetnek el , Xen .</t>
  </si>
  <si>
    <t>lelkületéből kifolyólag magától érthető . Ép úgy</t>
  </si>
  <si>
    <t>1881,Mikszáth Kálmán</t>
  </si>
  <si>
    <t>, kedves kisasszony , mennyire le leszek kötelezve</t>
  </si>
  <si>
    <t>szívessége által . Nőtlen levén , talán Bodnerné</t>
  </si>
  <si>
    <t>maga is sokallná - egy eleven anyakecskét . Éliás az</t>
  </si>
  <si>
    <t>jóakarat gúnyájába ( rosszul állt neki ) öltöztette</t>
  </si>
  <si>
    <t>mutatkozott , a , , Kelet Népé ' ' -ben Kossuth nemes</t>
  </si>
  <si>
    <t>törekvéseit csak , , puhaszívű ábrándozásoknak '</t>
  </si>
  <si>
    <t>is illik keresztény emberhez - a kinek vallása az</t>
  </si>
  <si>
    <t>szeretetet tanitja , - hogy ily nyomorult ruhátlan</t>
  </si>
  <si>
    <t>fel elvadult lekében az Isten irátni tiszteletet ,</t>
  </si>
  <si>
    <t>szeretetet , becsületességet s minden erkölcsi érzelmet</t>
  </si>
  <si>
    <t>1887,Tóvölgyi Titusz</t>
  </si>
  <si>
    <t>felfogás , a lovagiasság eszméje : a vérontás ! Az</t>
  </si>
  <si>
    <t>engedékenység , a közös emberi hibák elnézése helyett</t>
  </si>
  <si>
    <t>1888,Kovácsi Antal</t>
  </si>
  <si>
    <t>alkalamzása ; s ha a dolog csak ennyiből állana , mint</t>
  </si>
  <si>
    <t>humanus intézményt üdvözölnők is az életbiztositást</t>
  </si>
  <si>
    <t>1894,Mezőfi Vilmos</t>
  </si>
  <si>
    <t>egyesüljenek és szövetkezzenek egymással , alapitsanak</t>
  </si>
  <si>
    <t>intézményeket , melyek őket szellemileg és anyagilag</t>
  </si>
  <si>
    <t>1895,Radnóti Dezső</t>
  </si>
  <si>
    <t>adatokba bele kell képzelnünk az ő jóságos lelkét ,</t>
  </si>
  <si>
    <t>érzelmeit és azt a szivós kitartást , mely tetteit</t>
  </si>
  <si>
    <t>áldozatkészségében nem volt hiány . Ellenségeink még ezen</t>
  </si>
  <si>
    <t>intézményt is gyanús szemekkel nézték és fejlődését</t>
  </si>
  <si>
    <t>rendeltetési hasznos czélra fordittatnak , s valóban nemes és</t>
  </si>
  <si>
    <t>czélt szolgálnak . Hogy a nagykárolyi népnevelési</t>
  </si>
  <si>
    <t>különösen az éjszakai , sok embert tett tüdőbajossá .</t>
  </si>
  <si>
    <t>kötelességünk mindezeket Kauten plebános ur találmányára</t>
  </si>
  <si>
    <t>1905,Vámbéry Ármin</t>
  </si>
  <si>
    <t>lelkesedéssel fogadtak . Sokaknak feltünt irataim</t>
  </si>
  <si>
    <t>angolbaráti</t>
  </si>
  <si>
    <t>szelleme és sokan fordúltak hozzám azzal a kérdéssel</t>
  </si>
  <si>
    <t>legyen az bármily kevés , mégis előbbre viszi e nagy</t>
  </si>
  <si>
    <t>mozgalmat . Megteheti a tanítóság , hogy pár fillérrel</t>
  </si>
  <si>
    <t>1930,Zilahy Lajos</t>
  </si>
  <si>
    <t>magához hivatott és bizalmasan közölte velem , hogy</t>
  </si>
  <si>
    <t>működésünkért mind a kettőnket kitüntetésre akar</t>
  </si>
  <si>
    <t>és azt fogják mondani , azért vonulsz vissza , hogy</t>
  </si>
  <si>
    <t>szereplésedért bekasszálhasd az erkölcsi elismeréseket</t>
  </si>
  <si>
    <t>1933-1938,Déry Tibor</t>
  </si>
  <si>
    <t>Ha azt tetszik hinni , hogy dohányért teszem ! Itt</t>
  </si>
  <si>
    <t>kötelesség forog fenn , azért gyalogoltam fel Angyalföldről</t>
  </si>
  <si>
    <t>1935,Herczeg Ferenc</t>
  </si>
  <si>
    <t>beszédeket mondtunk a Házban és különböző tudományos és</t>
  </si>
  <si>
    <t>gyűléseken , de mindezzel nem sikerült a gólyát lecsalnunk</t>
  </si>
  <si>
    <t>1937,Ákos László</t>
  </si>
  <si>
    <t>nem a közélet egyik mellékes , a jótékonyság és az</t>
  </si>
  <si>
    <t>tevékenység határán mozgó ágazata , hanem nagyszabású</t>
  </si>
  <si>
    <t>szociális olajcsöppök " ) . Teszi ezt akár azért , hogy</t>
  </si>
  <si>
    <t>érzései érvényesüljenek , akár - és ez már bonyolultabb</t>
  </si>
  <si>
    <t>1938,Benedek Marcell</t>
  </si>
  <si>
    <t>közönség kivétel nélkül az elhunyt kollégáiból és</t>
  </si>
  <si>
    <t>egyesületek kiküldötteiből állt . - " Képviselők</t>
  </si>
  <si>
    <t>1941,Szerb Antal</t>
  </si>
  <si>
    <t>bocsátani a francia klasszikusokat . Ez az alapjában véve</t>
  </si>
  <si>
    <t>gondolat később kitűnően bevált üzletileg is , ma</t>
  </si>
  <si>
    <t>valamint mindazon jótékony szervezetekről , melyek az</t>
  </si>
  <si>
    <t>munka terén a patronázsbizottsággal karöltve fáradoznak</t>
  </si>
  <si>
    <t>1942,Füst Milán</t>
  </si>
  <si>
    <t>körülnéztem az embereken . Ami azt illeti : egész kedves kis</t>
  </si>
  <si>
    <t>üzletbaráti</t>
  </si>
  <si>
    <t>társaság gyűlt itt egybe : hat férfi , minket is</t>
  </si>
  <si>
    <t>1943,Sándor Kálmán</t>
  </si>
  <si>
    <t>keresi őt fel és teljes oldalon keresztül beszél szerző</t>
  </si>
  <si>
    <t>és orvosi érdemeiről . Ezekután pedig hajlandónak</t>
  </si>
  <si>
    <t>1951,Sőtér István</t>
  </si>
  <si>
    <t>Falu jegyzőjében Eötvös már végkép szakított azzal az</t>
  </si>
  <si>
    <t>érzelmes-emberbaráti</t>
  </si>
  <si>
    <t>magatartással , mellyel korábban közeledett az elnyomottakhoz</t>
  </si>
  <si>
    <t>1952,Németh Andor</t>
  </si>
  <si>
    <t>emberektől , akik - úgy látszott - hisznek az ilyen</t>
  </si>
  <si>
    <t>munkában . Mégis mindig nehezen éltek , rosszul ruházkodtak</t>
  </si>
  <si>
    <t>1952,Pach Zsigmond Pál</t>
  </si>
  <si>
    <t>fogházak javításával . 22 Természetes , hogy ilyen "</t>
  </si>
  <si>
    <t>" propagandával jelentek meg a színen a takarékpénztárak</t>
  </si>
  <si>
    <t>1955 e.,Gáspár Endre</t>
  </si>
  <si>
    <t>nem tudom , kié ? Crespo ( a színfalak mögött ) :</t>
  </si>
  <si>
    <t>tett lesz , ha megöltök . Isabel : Egek ! Van még</t>
  </si>
  <si>
    <t>1955,Déry Tibor</t>
  </si>
  <si>
    <t>férfilelkét két ellentétes érzelem hevítette : egyrészt az</t>
  </si>
  <si>
    <t>kíváság , hogy szelíd felesége lelkinyugalma ne szenvedjen</t>
  </si>
  <si>
    <t>1957,Benedek István</t>
  </si>
  <si>
    <t>Grausamkeit und schädlichen Einfluss ' ' - miként az</t>
  </si>
  <si>
    <t>Hayner megjegyzi . Horn ennél is célravezetőbbnek</t>
  </si>
  <si>
    <t>1959,Benedek Marcell</t>
  </si>
  <si>
    <t>gondos vizsgálat alá vetették a jótékony embereket , az</t>
  </si>
  <si>
    <t>intézmények alapítóit , a nagylelkű mecénásokat ,</t>
  </si>
  <si>
    <t>1967,Szentkuthy Miklós</t>
  </si>
  <si>
    <t>ez nonsens , - mit csinálhattam : helyette ? Hogy</t>
  </si>
  <si>
    <t>biblikus-baráti</t>
  </si>
  <si>
    <t>tiszteletemet és hálámat kifejezzem iránta ? - Lehet</t>
  </si>
  <si>
    <t>1972,Hegyi Béla</t>
  </si>
  <si>
    <t>összekapcsoló erővé váljék ( Baader több helyütt , ,</t>
  </si>
  <si>
    <t>közösségről ' ' beszél , sőt , , humanizált társadalomról</t>
  </si>
  <si>
    <t>1982,Berend T. Iván</t>
  </si>
  <si>
    <t>előnevekkel , címekkel díszítve ) és az uram-bátyám</t>
  </si>
  <si>
    <t>családi-baráti</t>
  </si>
  <si>
    <t>kapcsolatok , a magyar államhivatalok mindenhol megnyíló</t>
  </si>
  <si>
    <t>1983,Cs. Szabó László</t>
  </si>
  <si>
    <t>fennkölt szó , mint első felröppenésekor , s kevésbé</t>
  </si>
  <si>
    <t>: Egyenlőség ürügyén közigazgatási uniformalizálás</t>
  </si>
  <si>
    <t>1984,Bényei József</t>
  </si>
  <si>
    <t>volt rá ; így újságíróként is . 1842 elején Kemény és</t>
  </si>
  <si>
    <t>elvbaráti</t>
  </si>
  <si>
    <t>köre ( Kovács Lajos , Szentiváni Mihály ) Kolozsvárott</t>
  </si>
  <si>
    <t>1985,Borbándi Gyula</t>
  </si>
  <si>
    <t>követ révén - támogatta az Amerikai Magyar Segélyakció</t>
  </si>
  <si>
    <t>munkáját . Vladár Ervin volt genfi főkonzul a Nemzetközi</t>
  </si>
  <si>
    <t>1986,Eörsi István</t>
  </si>
  <si>
    <t>, noha a társadalom többnyire szemforgató módon ,</t>
  </si>
  <si>
    <t>gesztusokkal próbálja álcázni való érzelmeit . Mégis</t>
  </si>
  <si>
    <t>1989,Mészöly Miklós</t>
  </si>
  <si>
    <t>önmegszólítás : lenni önmagunk ellenzéke is . Barátunk</t>
  </si>
  <si>
    <t>körben szenvedélyesen nem rejti véka alá meggyőződését</t>
  </si>
  <si>
    <t>1990,Zsugán István</t>
  </si>
  <si>
    <t>ezúttal is elhárítottam a meghívást , egy olyasféle</t>
  </si>
  <si>
    <t>udvarias-baráti</t>
  </si>
  <si>
    <t>, őszinte köszönőlevélkében , amilyenekkel az utóbbi</t>
  </si>
  <si>
    <t>1992,Herczeg Géza</t>
  </si>
  <si>
    <t>bekezdés ) " Gazdasági , szociális , kulturális vagy</t>
  </si>
  <si>
    <t>jellegű nemzetközi feladatok útján , valamint az</t>
  </si>
  <si>
    <t>2007,János-Szatmári Szabolcs</t>
  </si>
  <si>
    <t>nagylelkűség legfontosabbnak kikiáltott erénye . Egyik</t>
  </si>
  <si>
    <t>cselekedet a másikat váltja ki , a pénzzel való nagylelkű</t>
  </si>
  <si>
    <t>2009,Csetri Elek</t>
  </si>
  <si>
    <t>áthaladó fogoly lengyeleknek , maródi katonáknak .</t>
  </si>
  <si>
    <t>„Felebaráti</t>
  </si>
  <si>
    <t>vagy rokonérzés , vagy bajnoki vágy , vagy könnyelműség</t>
  </si>
  <si>
    <t>rossz</t>
  </si>
  <si>
    <t>jó</t>
  </si>
  <si>
    <t>jó:</t>
  </si>
  <si>
    <t>rossz:</t>
  </si>
  <si>
    <t>eltérő jelentés</t>
  </si>
  <si>
    <t>főnévi alaptag/utótag</t>
  </si>
  <si>
    <t>birtoktöbbesítő jel</t>
  </si>
  <si>
    <t>eltérő jelentés:</t>
  </si>
  <si>
    <t>főnévi alaptag/utótag:</t>
  </si>
  <si>
    <t>birtoktöbbesítő jel:</t>
  </si>
  <si>
    <t>keletkezés</t>
  </si>
  <si>
    <t>szövegkörnyezet</t>
  </si>
  <si>
    <t>adat</t>
  </si>
  <si>
    <t>megfelelőség</t>
  </si>
  <si>
    <t>kizárás oka</t>
  </si>
  <si>
    <t>kritérium</t>
  </si>
  <si>
    <t>darabszám</t>
  </si>
  <si>
    <r>
      <t>Az MTSZ N.</t>
    </r>
    <r>
      <rPr>
        <i/>
        <sz val="18"/>
        <color theme="1"/>
        <rFont val="Aptos Narrow"/>
        <family val="2"/>
        <scheme val="minor"/>
      </rPr>
      <t xml:space="preserve">baráti </t>
    </r>
    <r>
      <rPr>
        <sz val="18"/>
        <color theme="1"/>
        <rFont val="Aptos Narrow"/>
        <family val="2"/>
        <scheme val="minor"/>
      </rPr>
      <t>adatai (12.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</si>
</sst>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380E-5A01-4DE4-B586-6335A6B1AEBE}">
  <sheetPr>
    <pageSetUpPr fitToPage="1"/>
  </sheetPr>
  <dimension ref="A1:I68"/>
  <sheetViews>
    <sheetView tabSelected="1" zoomScaleNormal="100" workbookViewId="0">
      <selection activeCell="H14" sqref="H14"/>
    </sheetView>
  </sheetViews>
  <sheetFormatPr defaultRowHeight="14.4" x14ac:dyDescent="0.3"/>
  <cols>
    <col min="1" max="1" width="19.44140625" style="3" bestFit="1" customWidth="1"/>
    <col min="2" max="2" width="39.109375" style="1" bestFit="1" customWidth="1"/>
    <col min="3" max="3" width="14.6640625" style="1" bestFit="1" customWidth="1"/>
    <col min="4" max="4" width="40.109375" style="1" bestFit="1" customWidth="1"/>
    <col min="5" max="5" width="8.88671875" style="1"/>
    <col min="6" max="6" width="17.88671875" style="3" bestFit="1" customWidth="1"/>
    <col min="7" max="7" width="8.88671875" style="1"/>
    <col min="8" max="8" width="18.44140625" style="1" bestFit="1" customWidth="1"/>
    <col min="9" max="9" width="12.44140625" style="1" bestFit="1" customWidth="1"/>
    <col min="10" max="16384" width="8.88671875" style="1"/>
  </cols>
  <sheetData>
    <row r="1" spans="1:9" ht="31.8" customHeight="1" x14ac:dyDescent="0.3">
      <c r="A1" s="2" t="s">
        <v>209</v>
      </c>
    </row>
    <row r="2" spans="1:9" ht="14.4" customHeight="1" x14ac:dyDescent="0.45">
      <c r="A2" s="4"/>
    </row>
    <row r="3" spans="1:9" s="5" customFormat="1" ht="29.4" customHeight="1" x14ac:dyDescent="0.3">
      <c r="A3" s="5" t="s">
        <v>202</v>
      </c>
      <c r="B3" s="5" t="s">
        <v>203</v>
      </c>
      <c r="C3" s="5" t="s">
        <v>204</v>
      </c>
      <c r="D3" s="5" t="s">
        <v>203</v>
      </c>
      <c r="E3" s="5" t="s">
        <v>205</v>
      </c>
      <c r="F3" s="5" t="s">
        <v>206</v>
      </c>
      <c r="H3" s="5" t="s">
        <v>207</v>
      </c>
      <c r="I3" s="5" t="s">
        <v>208</v>
      </c>
    </row>
    <row r="4" spans="1:9" x14ac:dyDescent="0.3">
      <c r="A4" s="6" t="s">
        <v>0</v>
      </c>
      <c r="B4" s="7" t="s">
        <v>1</v>
      </c>
      <c r="C4" s="8" t="s">
        <v>2</v>
      </c>
      <c r="D4" s="9" t="s">
        <v>3</v>
      </c>
      <c r="E4" s="1" t="s">
        <v>192</v>
      </c>
      <c r="F4" s="3" t="s">
        <v>196</v>
      </c>
      <c r="H4" s="1" t="s">
        <v>194</v>
      </c>
      <c r="I4" s="1">
        <f>COUNTIF(E4:E68,"jó")</f>
        <v>51</v>
      </c>
    </row>
    <row r="5" spans="1:9" x14ac:dyDescent="0.3">
      <c r="A5" s="6" t="s">
        <v>4</v>
      </c>
      <c r="B5" s="7" t="s">
        <v>5</v>
      </c>
      <c r="C5" s="8" t="s">
        <v>6</v>
      </c>
      <c r="D5" s="9" t="s">
        <v>7</v>
      </c>
      <c r="E5" s="1" t="s">
        <v>192</v>
      </c>
      <c r="F5" s="3" t="s">
        <v>197</v>
      </c>
      <c r="H5" s="1" t="s">
        <v>195</v>
      </c>
      <c r="I5" s="1">
        <f>COUNTIF(E4:E68,"rossz")</f>
        <v>14</v>
      </c>
    </row>
    <row r="6" spans="1:9" x14ac:dyDescent="0.3">
      <c r="A6" s="6">
        <v>1796</v>
      </c>
      <c r="B6" s="7" t="s">
        <v>8</v>
      </c>
      <c r="C6" s="8" t="s">
        <v>9</v>
      </c>
      <c r="D6" s="9" t="s">
        <v>10</v>
      </c>
      <c r="E6" s="1" t="s">
        <v>192</v>
      </c>
      <c r="F6" s="3" t="s">
        <v>197</v>
      </c>
    </row>
    <row r="7" spans="1:9" x14ac:dyDescent="0.3">
      <c r="A7" s="6" t="s">
        <v>11</v>
      </c>
      <c r="B7" s="7" t="s">
        <v>12</v>
      </c>
      <c r="C7" s="8" t="s">
        <v>13</v>
      </c>
      <c r="D7" s="9" t="s">
        <v>14</v>
      </c>
      <c r="E7" s="1" t="s">
        <v>192</v>
      </c>
      <c r="F7" s="3" t="s">
        <v>198</v>
      </c>
      <c r="H7" s="3" t="s">
        <v>199</v>
      </c>
      <c r="I7" s="1">
        <f>COUNTIF(F4:F68,"eltérő jelentés")</f>
        <v>6</v>
      </c>
    </row>
    <row r="8" spans="1:9" x14ac:dyDescent="0.3">
      <c r="A8" s="6" t="s">
        <v>15</v>
      </c>
      <c r="B8" s="7" t="s">
        <v>16</v>
      </c>
      <c r="C8" s="8" t="s">
        <v>17</v>
      </c>
      <c r="D8" s="9" t="s">
        <v>18</v>
      </c>
      <c r="E8" s="1" t="s">
        <v>193</v>
      </c>
      <c r="H8" s="3" t="s">
        <v>200</v>
      </c>
      <c r="I8" s="1">
        <f>COUNTIF(F4:F68,"főnévi alaptag/utótag")</f>
        <v>6</v>
      </c>
    </row>
    <row r="9" spans="1:9" x14ac:dyDescent="0.3">
      <c r="A9" s="6">
        <v>1841</v>
      </c>
      <c r="B9" s="7" t="s">
        <v>19</v>
      </c>
      <c r="C9" s="8" t="s">
        <v>20</v>
      </c>
      <c r="D9" s="9" t="s">
        <v>21</v>
      </c>
      <c r="E9" s="1" t="s">
        <v>193</v>
      </c>
      <c r="H9" s="3" t="s">
        <v>201</v>
      </c>
      <c r="I9" s="1">
        <f>COUNTIF(F4:F68,"birtoktöbbesítő jel")</f>
        <v>2</v>
      </c>
    </row>
    <row r="10" spans="1:9" x14ac:dyDescent="0.3">
      <c r="A10" s="6" t="s">
        <v>22</v>
      </c>
      <c r="B10" s="7" t="s">
        <v>23</v>
      </c>
      <c r="C10" s="8" t="s">
        <v>17</v>
      </c>
      <c r="D10" s="9" t="s">
        <v>24</v>
      </c>
      <c r="E10" s="1" t="s">
        <v>193</v>
      </c>
    </row>
    <row r="11" spans="1:9" x14ac:dyDescent="0.3">
      <c r="A11" s="6" t="s">
        <v>25</v>
      </c>
      <c r="B11" s="7" t="s">
        <v>26</v>
      </c>
      <c r="C11" s="8" t="s">
        <v>17</v>
      </c>
      <c r="D11" s="9" t="s">
        <v>27</v>
      </c>
      <c r="E11" s="1" t="s">
        <v>193</v>
      </c>
    </row>
    <row r="12" spans="1:9" x14ac:dyDescent="0.3">
      <c r="A12" s="6">
        <v>1850</v>
      </c>
      <c r="B12" s="7" t="s">
        <v>28</v>
      </c>
      <c r="C12" s="8" t="s">
        <v>17</v>
      </c>
      <c r="D12" s="9" t="s">
        <v>29</v>
      </c>
      <c r="E12" s="1" t="s">
        <v>193</v>
      </c>
    </row>
    <row r="13" spans="1:9" x14ac:dyDescent="0.3">
      <c r="A13" s="6">
        <v>1850</v>
      </c>
      <c r="B13" s="7" t="s">
        <v>30</v>
      </c>
      <c r="C13" s="8" t="s">
        <v>17</v>
      </c>
      <c r="D13" s="9" t="s">
        <v>31</v>
      </c>
      <c r="E13" s="1" t="s">
        <v>192</v>
      </c>
      <c r="F13" s="3" t="s">
        <v>198</v>
      </c>
    </row>
    <row r="14" spans="1:9" x14ac:dyDescent="0.3">
      <c r="A14" s="6">
        <v>1850</v>
      </c>
      <c r="B14" s="7" t="s">
        <v>32</v>
      </c>
      <c r="C14" s="8" t="s">
        <v>17</v>
      </c>
      <c r="D14" s="9" t="s">
        <v>33</v>
      </c>
      <c r="E14" s="1" t="s">
        <v>193</v>
      </c>
    </row>
    <row r="15" spans="1:9" x14ac:dyDescent="0.3">
      <c r="A15" s="6">
        <v>1857</v>
      </c>
      <c r="B15" s="7" t="s">
        <v>34</v>
      </c>
      <c r="C15" s="8" t="s">
        <v>35</v>
      </c>
      <c r="D15" s="9" t="s">
        <v>36</v>
      </c>
      <c r="E15" s="1" t="s">
        <v>192</v>
      </c>
      <c r="F15" s="3" t="s">
        <v>196</v>
      </c>
    </row>
    <row r="16" spans="1:9" x14ac:dyDescent="0.3">
      <c r="A16" s="6">
        <v>1857</v>
      </c>
      <c r="B16" s="7" t="s">
        <v>37</v>
      </c>
      <c r="C16" s="8" t="s">
        <v>35</v>
      </c>
      <c r="D16" s="9" t="s">
        <v>38</v>
      </c>
      <c r="E16" s="1" t="s">
        <v>192</v>
      </c>
      <c r="F16" s="3" t="s">
        <v>196</v>
      </c>
    </row>
    <row r="17" spans="1:6" x14ac:dyDescent="0.3">
      <c r="A17" s="6">
        <v>1857</v>
      </c>
      <c r="B17" s="7" t="s">
        <v>39</v>
      </c>
      <c r="C17" s="8" t="s">
        <v>40</v>
      </c>
      <c r="D17" s="9" t="s">
        <v>41</v>
      </c>
      <c r="E17" s="1" t="s">
        <v>192</v>
      </c>
      <c r="F17" s="3" t="s">
        <v>196</v>
      </c>
    </row>
    <row r="18" spans="1:6" x14ac:dyDescent="0.3">
      <c r="A18" s="6">
        <v>1857</v>
      </c>
      <c r="B18" s="7" t="s">
        <v>42</v>
      </c>
      <c r="C18" s="8" t="s">
        <v>40</v>
      </c>
      <c r="D18" s="9" t="s">
        <v>43</v>
      </c>
      <c r="E18" s="1" t="s">
        <v>192</v>
      </c>
      <c r="F18" s="3" t="s">
        <v>196</v>
      </c>
    </row>
    <row r="19" spans="1:6" x14ac:dyDescent="0.3">
      <c r="A19" s="6" t="s">
        <v>44</v>
      </c>
      <c r="B19" s="7" t="s">
        <v>45</v>
      </c>
      <c r="C19" s="8" t="s">
        <v>17</v>
      </c>
      <c r="D19" s="9" t="s">
        <v>46</v>
      </c>
      <c r="E19" s="1" t="s">
        <v>193</v>
      </c>
    </row>
    <row r="20" spans="1:6" x14ac:dyDescent="0.3">
      <c r="A20" s="6">
        <v>1863</v>
      </c>
      <c r="B20" s="7" t="s">
        <v>47</v>
      </c>
      <c r="C20" s="8" t="s">
        <v>48</v>
      </c>
      <c r="D20" s="9" t="s">
        <v>49</v>
      </c>
      <c r="E20" s="1" t="s">
        <v>193</v>
      </c>
    </row>
    <row r="21" spans="1:6" x14ac:dyDescent="0.3">
      <c r="A21" s="6" t="s">
        <v>50</v>
      </c>
      <c r="B21" s="7" t="s">
        <v>51</v>
      </c>
      <c r="C21" s="8" t="s">
        <v>52</v>
      </c>
      <c r="D21" s="9" t="s">
        <v>53</v>
      </c>
      <c r="E21" s="1" t="s">
        <v>193</v>
      </c>
    </row>
    <row r="22" spans="1:6" x14ac:dyDescent="0.3">
      <c r="A22" s="6" t="s">
        <v>54</v>
      </c>
      <c r="B22" s="7" t="s">
        <v>55</v>
      </c>
      <c r="C22" s="8" t="s">
        <v>17</v>
      </c>
      <c r="D22" s="9" t="s">
        <v>56</v>
      </c>
      <c r="E22" s="1" t="s">
        <v>193</v>
      </c>
    </row>
    <row r="23" spans="1:6" x14ac:dyDescent="0.3">
      <c r="A23" s="6" t="s">
        <v>57</v>
      </c>
      <c r="B23" s="7" t="s">
        <v>58</v>
      </c>
      <c r="C23" s="8" t="s">
        <v>17</v>
      </c>
      <c r="D23" s="9" t="s">
        <v>59</v>
      </c>
      <c r="E23" s="1" t="s">
        <v>193</v>
      </c>
    </row>
    <row r="24" spans="1:6" x14ac:dyDescent="0.3">
      <c r="A24" s="6" t="s">
        <v>60</v>
      </c>
      <c r="B24" s="7" t="s">
        <v>61</v>
      </c>
      <c r="C24" s="8" t="s">
        <v>17</v>
      </c>
      <c r="D24" s="9" t="s">
        <v>62</v>
      </c>
      <c r="E24" s="1" t="s">
        <v>193</v>
      </c>
    </row>
    <row r="25" spans="1:6" x14ac:dyDescent="0.3">
      <c r="A25" s="6" t="s">
        <v>63</v>
      </c>
      <c r="B25" s="7" t="s">
        <v>64</v>
      </c>
      <c r="C25" s="8" t="s">
        <v>17</v>
      </c>
      <c r="D25" s="9" t="s">
        <v>65</v>
      </c>
      <c r="E25" s="1" t="s">
        <v>193</v>
      </c>
    </row>
    <row r="26" spans="1:6" x14ac:dyDescent="0.3">
      <c r="A26" s="6" t="s">
        <v>63</v>
      </c>
      <c r="B26" s="7" t="s">
        <v>66</v>
      </c>
      <c r="C26" s="8" t="s">
        <v>17</v>
      </c>
      <c r="D26" s="9" t="s">
        <v>67</v>
      </c>
      <c r="E26" s="1" t="s">
        <v>193</v>
      </c>
    </row>
    <row r="27" spans="1:6" x14ac:dyDescent="0.3">
      <c r="A27" s="6">
        <v>1884</v>
      </c>
      <c r="B27" s="7" t="s">
        <v>68</v>
      </c>
      <c r="C27" s="8" t="s">
        <v>17</v>
      </c>
      <c r="D27" s="9" t="s">
        <v>69</v>
      </c>
      <c r="E27" s="1" t="s">
        <v>193</v>
      </c>
    </row>
    <row r="28" spans="1:6" x14ac:dyDescent="0.3">
      <c r="A28" s="6">
        <v>1886</v>
      </c>
      <c r="B28" s="7" t="s">
        <v>70</v>
      </c>
      <c r="C28" s="8" t="s">
        <v>17</v>
      </c>
      <c r="D28" s="9" t="s">
        <v>71</v>
      </c>
      <c r="E28" s="1" t="s">
        <v>193</v>
      </c>
    </row>
    <row r="29" spans="1:6" x14ac:dyDescent="0.3">
      <c r="A29" s="6">
        <v>1886</v>
      </c>
      <c r="B29" s="7" t="s">
        <v>72</v>
      </c>
      <c r="C29" s="8" t="s">
        <v>17</v>
      </c>
      <c r="D29" s="9" t="s">
        <v>73</v>
      </c>
      <c r="E29" s="1" t="s">
        <v>193</v>
      </c>
    </row>
    <row r="30" spans="1:6" x14ac:dyDescent="0.3">
      <c r="A30" s="6" t="s">
        <v>74</v>
      </c>
      <c r="B30" s="7" t="s">
        <v>75</v>
      </c>
      <c r="C30" s="8" t="s">
        <v>17</v>
      </c>
      <c r="D30" s="9" t="s">
        <v>76</v>
      </c>
      <c r="E30" s="1" t="s">
        <v>193</v>
      </c>
    </row>
    <row r="31" spans="1:6" x14ac:dyDescent="0.3">
      <c r="A31" s="6" t="s">
        <v>77</v>
      </c>
      <c r="B31" s="7" t="s">
        <v>78</v>
      </c>
      <c r="C31" s="8" t="s">
        <v>17</v>
      </c>
      <c r="D31" s="9" t="s">
        <v>79</v>
      </c>
      <c r="E31" s="1" t="s">
        <v>193</v>
      </c>
    </row>
    <row r="32" spans="1:6" x14ac:dyDescent="0.3">
      <c r="A32" s="6" t="s">
        <v>80</v>
      </c>
      <c r="B32" s="7" t="s">
        <v>81</v>
      </c>
      <c r="C32" s="8" t="s">
        <v>17</v>
      </c>
      <c r="D32" s="9" t="s">
        <v>82</v>
      </c>
      <c r="E32" s="1" t="s">
        <v>193</v>
      </c>
    </row>
    <row r="33" spans="1:5" x14ac:dyDescent="0.3">
      <c r="A33" s="6" t="s">
        <v>83</v>
      </c>
      <c r="B33" s="7" t="s">
        <v>84</v>
      </c>
      <c r="C33" s="8" t="s">
        <v>17</v>
      </c>
      <c r="D33" s="9" t="s">
        <v>85</v>
      </c>
      <c r="E33" s="1" t="s">
        <v>193</v>
      </c>
    </row>
    <row r="34" spans="1:5" x14ac:dyDescent="0.3">
      <c r="A34" s="6">
        <v>1896</v>
      </c>
      <c r="B34" s="7" t="s">
        <v>86</v>
      </c>
      <c r="C34" s="8" t="s">
        <v>17</v>
      </c>
      <c r="D34" s="9" t="s">
        <v>87</v>
      </c>
      <c r="E34" s="1" t="s">
        <v>193</v>
      </c>
    </row>
    <row r="35" spans="1:5" x14ac:dyDescent="0.3">
      <c r="A35" s="6">
        <v>1896</v>
      </c>
      <c r="B35" s="7" t="s">
        <v>88</v>
      </c>
      <c r="C35" s="8" t="s">
        <v>17</v>
      </c>
      <c r="D35" s="9" t="s">
        <v>89</v>
      </c>
      <c r="E35" s="1" t="s">
        <v>193</v>
      </c>
    </row>
    <row r="36" spans="1:5" x14ac:dyDescent="0.3">
      <c r="A36" s="6">
        <v>1901</v>
      </c>
      <c r="B36" s="7" t="s">
        <v>90</v>
      </c>
      <c r="C36" s="8" t="s">
        <v>52</v>
      </c>
      <c r="D36" s="9" t="s">
        <v>91</v>
      </c>
      <c r="E36" s="1" t="s">
        <v>193</v>
      </c>
    </row>
    <row r="37" spans="1:5" x14ac:dyDescent="0.3">
      <c r="A37" s="6" t="s">
        <v>92</v>
      </c>
      <c r="B37" s="7" t="s">
        <v>93</v>
      </c>
      <c r="C37" s="8" t="s">
        <v>94</v>
      </c>
      <c r="D37" s="9" t="s">
        <v>95</v>
      </c>
      <c r="E37" s="1" t="s">
        <v>193</v>
      </c>
    </row>
    <row r="38" spans="1:5" x14ac:dyDescent="0.3">
      <c r="A38" s="6">
        <v>1914</v>
      </c>
      <c r="B38" s="7" t="s">
        <v>96</v>
      </c>
      <c r="C38" s="8" t="s">
        <v>17</v>
      </c>
      <c r="D38" s="9" t="s">
        <v>97</v>
      </c>
      <c r="E38" s="1" t="s">
        <v>193</v>
      </c>
    </row>
    <row r="39" spans="1:5" x14ac:dyDescent="0.3">
      <c r="A39" s="6" t="s">
        <v>98</v>
      </c>
      <c r="B39" s="7" t="s">
        <v>99</v>
      </c>
      <c r="C39" s="8" t="s">
        <v>17</v>
      </c>
      <c r="D39" s="9" t="s">
        <v>100</v>
      </c>
      <c r="E39" s="1" t="s">
        <v>193</v>
      </c>
    </row>
    <row r="40" spans="1:5" x14ac:dyDescent="0.3">
      <c r="A40" s="6" t="s">
        <v>98</v>
      </c>
      <c r="B40" s="7" t="s">
        <v>101</v>
      </c>
      <c r="C40" s="8" t="s">
        <v>17</v>
      </c>
      <c r="D40" s="9" t="s">
        <v>102</v>
      </c>
      <c r="E40" s="1" t="s">
        <v>193</v>
      </c>
    </row>
    <row r="41" spans="1:5" x14ac:dyDescent="0.3">
      <c r="A41" s="6" t="s">
        <v>103</v>
      </c>
      <c r="B41" s="7" t="s">
        <v>104</v>
      </c>
      <c r="C41" s="8" t="s">
        <v>17</v>
      </c>
      <c r="D41" s="9" t="s">
        <v>105</v>
      </c>
      <c r="E41" s="1" t="s">
        <v>193</v>
      </c>
    </row>
    <row r="42" spans="1:5" x14ac:dyDescent="0.3">
      <c r="A42" s="6" t="s">
        <v>106</v>
      </c>
      <c r="B42" s="7" t="s">
        <v>107</v>
      </c>
      <c r="C42" s="8" t="s">
        <v>17</v>
      </c>
      <c r="D42" s="9" t="s">
        <v>108</v>
      </c>
      <c r="E42" s="1" t="s">
        <v>193</v>
      </c>
    </row>
    <row r="43" spans="1:5" x14ac:dyDescent="0.3">
      <c r="A43" s="6" t="s">
        <v>109</v>
      </c>
      <c r="B43" s="7" t="s">
        <v>110</v>
      </c>
      <c r="C43" s="8" t="s">
        <v>17</v>
      </c>
      <c r="D43" s="9" t="s">
        <v>111</v>
      </c>
      <c r="E43" s="1" t="s">
        <v>193</v>
      </c>
    </row>
    <row r="44" spans="1:5" x14ac:dyDescent="0.3">
      <c r="A44" s="6" t="s">
        <v>109</v>
      </c>
      <c r="B44" s="7" t="s">
        <v>112</v>
      </c>
      <c r="C44" s="8" t="s">
        <v>17</v>
      </c>
      <c r="D44" s="9" t="s">
        <v>113</v>
      </c>
      <c r="E44" s="1" t="s">
        <v>193</v>
      </c>
    </row>
    <row r="45" spans="1:5" x14ac:dyDescent="0.3">
      <c r="A45" s="6" t="s">
        <v>114</v>
      </c>
      <c r="B45" s="7" t="s">
        <v>115</v>
      </c>
      <c r="C45" s="8" t="s">
        <v>17</v>
      </c>
      <c r="D45" s="9" t="s">
        <v>116</v>
      </c>
      <c r="E45" s="1" t="s">
        <v>193</v>
      </c>
    </row>
    <row r="46" spans="1:5" x14ac:dyDescent="0.3">
      <c r="A46" s="6" t="s">
        <v>117</v>
      </c>
      <c r="B46" s="7" t="s">
        <v>118</v>
      </c>
      <c r="C46" s="8" t="s">
        <v>17</v>
      </c>
      <c r="D46" s="9" t="s">
        <v>119</v>
      </c>
      <c r="E46" s="1" t="s">
        <v>193</v>
      </c>
    </row>
    <row r="47" spans="1:5" x14ac:dyDescent="0.3">
      <c r="A47" s="6">
        <v>1942</v>
      </c>
      <c r="B47" s="7" t="s">
        <v>120</v>
      </c>
      <c r="C47" s="8" t="s">
        <v>17</v>
      </c>
      <c r="D47" s="9" t="s">
        <v>121</v>
      </c>
      <c r="E47" s="1" t="s">
        <v>193</v>
      </c>
    </row>
    <row r="48" spans="1:5" x14ac:dyDescent="0.3">
      <c r="A48" s="6" t="s">
        <v>122</v>
      </c>
      <c r="B48" s="7" t="s">
        <v>123</v>
      </c>
      <c r="C48" s="8" t="s">
        <v>124</v>
      </c>
      <c r="D48" s="9" t="s">
        <v>125</v>
      </c>
      <c r="E48" s="1" t="s">
        <v>193</v>
      </c>
    </row>
    <row r="49" spans="1:6" x14ac:dyDescent="0.3">
      <c r="A49" s="6" t="s">
        <v>126</v>
      </c>
      <c r="B49" s="7" t="s">
        <v>127</v>
      </c>
      <c r="C49" s="8" t="s">
        <v>17</v>
      </c>
      <c r="D49" s="9" t="s">
        <v>128</v>
      </c>
      <c r="E49" s="1" t="s">
        <v>193</v>
      </c>
    </row>
    <row r="50" spans="1:6" x14ac:dyDescent="0.3">
      <c r="A50" s="6" t="s">
        <v>129</v>
      </c>
      <c r="B50" s="7" t="s">
        <v>130</v>
      </c>
      <c r="C50" s="8" t="s">
        <v>131</v>
      </c>
      <c r="D50" s="9" t="s">
        <v>132</v>
      </c>
      <c r="E50" s="1" t="s">
        <v>193</v>
      </c>
    </row>
    <row r="51" spans="1:6" x14ac:dyDescent="0.3">
      <c r="A51" s="6" t="s">
        <v>133</v>
      </c>
      <c r="B51" s="7" t="s">
        <v>134</v>
      </c>
      <c r="C51" s="8" t="s">
        <v>17</v>
      </c>
      <c r="D51" s="9" t="s">
        <v>135</v>
      </c>
      <c r="E51" s="1" t="s">
        <v>193</v>
      </c>
    </row>
    <row r="52" spans="1:6" x14ac:dyDescent="0.3">
      <c r="A52" s="6" t="s">
        <v>136</v>
      </c>
      <c r="B52" s="7" t="s">
        <v>137</v>
      </c>
      <c r="C52" s="8" t="s">
        <v>17</v>
      </c>
      <c r="D52" s="9" t="s">
        <v>138</v>
      </c>
      <c r="E52" s="1" t="s">
        <v>193</v>
      </c>
    </row>
    <row r="53" spans="1:6" x14ac:dyDescent="0.3">
      <c r="A53" s="6" t="s">
        <v>139</v>
      </c>
      <c r="B53" s="7" t="s">
        <v>140</v>
      </c>
      <c r="C53" s="8" t="s">
        <v>52</v>
      </c>
      <c r="D53" s="9" t="s">
        <v>141</v>
      </c>
      <c r="E53" s="1" t="s">
        <v>193</v>
      </c>
    </row>
    <row r="54" spans="1:6" x14ac:dyDescent="0.3">
      <c r="A54" s="6" t="s">
        <v>142</v>
      </c>
      <c r="B54" s="7" t="s">
        <v>143</v>
      </c>
      <c r="C54" s="8" t="s">
        <v>17</v>
      </c>
      <c r="D54" s="9" t="s">
        <v>144</v>
      </c>
      <c r="E54" s="1" t="s">
        <v>193</v>
      </c>
    </row>
    <row r="55" spans="1:6" x14ac:dyDescent="0.3">
      <c r="A55" s="6" t="s">
        <v>145</v>
      </c>
      <c r="B55" s="7" t="s">
        <v>146</v>
      </c>
      <c r="C55" s="8" t="s">
        <v>17</v>
      </c>
      <c r="D55" s="9" t="s">
        <v>147</v>
      </c>
      <c r="E55" s="1" t="s">
        <v>193</v>
      </c>
    </row>
    <row r="56" spans="1:6" x14ac:dyDescent="0.3">
      <c r="A56" s="6" t="s">
        <v>148</v>
      </c>
      <c r="B56" s="7" t="s">
        <v>149</v>
      </c>
      <c r="C56" s="8" t="s">
        <v>17</v>
      </c>
      <c r="D56" s="9" t="s">
        <v>150</v>
      </c>
      <c r="E56" s="1" t="s">
        <v>193</v>
      </c>
    </row>
    <row r="57" spans="1:6" x14ac:dyDescent="0.3">
      <c r="A57" s="6" t="s">
        <v>151</v>
      </c>
      <c r="B57" s="7" t="s">
        <v>152</v>
      </c>
      <c r="C57" s="8" t="s">
        <v>153</v>
      </c>
      <c r="D57" s="9" t="s">
        <v>154</v>
      </c>
      <c r="E57" s="1" t="s">
        <v>192</v>
      </c>
      <c r="F57" s="3" t="s">
        <v>196</v>
      </c>
    </row>
    <row r="58" spans="1:6" x14ac:dyDescent="0.3">
      <c r="A58" s="6" t="s">
        <v>155</v>
      </c>
      <c r="B58" s="7" t="s">
        <v>156</v>
      </c>
      <c r="C58" s="8" t="s">
        <v>17</v>
      </c>
      <c r="D58" s="9" t="s">
        <v>157</v>
      </c>
      <c r="E58" s="1" t="s">
        <v>193</v>
      </c>
    </row>
    <row r="59" spans="1:6" x14ac:dyDescent="0.3">
      <c r="A59" s="6" t="s">
        <v>158</v>
      </c>
      <c r="B59" s="7" t="s">
        <v>159</v>
      </c>
      <c r="C59" s="8" t="s">
        <v>160</v>
      </c>
      <c r="D59" s="9" t="s">
        <v>161</v>
      </c>
      <c r="E59" s="1" t="s">
        <v>192</v>
      </c>
      <c r="F59" s="3" t="s">
        <v>197</v>
      </c>
    </row>
    <row r="60" spans="1:6" x14ac:dyDescent="0.3">
      <c r="A60" s="6" t="s">
        <v>162</v>
      </c>
      <c r="B60" s="7" t="s">
        <v>163</v>
      </c>
      <c r="C60" s="8" t="s">
        <v>17</v>
      </c>
      <c r="D60" s="9" t="s">
        <v>164</v>
      </c>
      <c r="E60" s="1" t="s">
        <v>193</v>
      </c>
    </row>
    <row r="61" spans="1:6" x14ac:dyDescent="0.3">
      <c r="A61" s="6" t="s">
        <v>165</v>
      </c>
      <c r="B61" s="7" t="s">
        <v>166</v>
      </c>
      <c r="C61" s="8" t="s">
        <v>167</v>
      </c>
      <c r="D61" s="9" t="s">
        <v>168</v>
      </c>
      <c r="E61" s="1" t="s">
        <v>193</v>
      </c>
    </row>
    <row r="62" spans="1:6" x14ac:dyDescent="0.3">
      <c r="A62" s="6" t="s">
        <v>169</v>
      </c>
      <c r="B62" s="7" t="s">
        <v>170</v>
      </c>
      <c r="C62" s="8" t="s">
        <v>17</v>
      </c>
      <c r="D62" s="9" t="s">
        <v>171</v>
      </c>
      <c r="E62" s="1" t="s">
        <v>193</v>
      </c>
    </row>
    <row r="63" spans="1:6" x14ac:dyDescent="0.3">
      <c r="A63" s="6" t="s">
        <v>172</v>
      </c>
      <c r="B63" s="7" t="s">
        <v>173</v>
      </c>
      <c r="C63" s="8" t="s">
        <v>17</v>
      </c>
      <c r="D63" s="9" t="s">
        <v>174</v>
      </c>
      <c r="E63" s="1" t="s">
        <v>193</v>
      </c>
    </row>
    <row r="64" spans="1:6" x14ac:dyDescent="0.3">
      <c r="A64" s="6" t="s">
        <v>175</v>
      </c>
      <c r="B64" s="7" t="s">
        <v>176</v>
      </c>
      <c r="C64" s="8" t="s">
        <v>160</v>
      </c>
      <c r="D64" s="9" t="s">
        <v>177</v>
      </c>
      <c r="E64" s="1" t="s">
        <v>192</v>
      </c>
      <c r="F64" s="3" t="s">
        <v>197</v>
      </c>
    </row>
    <row r="65" spans="1:6" x14ac:dyDescent="0.3">
      <c r="A65" s="6" t="s">
        <v>178</v>
      </c>
      <c r="B65" s="7" t="s">
        <v>179</v>
      </c>
      <c r="C65" s="8" t="s">
        <v>180</v>
      </c>
      <c r="D65" s="9" t="s">
        <v>181</v>
      </c>
      <c r="E65" s="1" t="s">
        <v>192</v>
      </c>
      <c r="F65" s="3" t="s">
        <v>197</v>
      </c>
    </row>
    <row r="66" spans="1:6" x14ac:dyDescent="0.3">
      <c r="A66" s="6" t="s">
        <v>182</v>
      </c>
      <c r="B66" s="7" t="s">
        <v>183</v>
      </c>
      <c r="C66" s="8" t="s">
        <v>17</v>
      </c>
      <c r="D66" s="9" t="s">
        <v>184</v>
      </c>
      <c r="E66" s="1" t="s">
        <v>193</v>
      </c>
    </row>
    <row r="67" spans="1:6" x14ac:dyDescent="0.3">
      <c r="A67" s="6" t="s">
        <v>185</v>
      </c>
      <c r="B67" s="7" t="s">
        <v>186</v>
      </c>
      <c r="C67" s="8" t="s">
        <v>17</v>
      </c>
      <c r="D67" s="9" t="s">
        <v>187</v>
      </c>
      <c r="E67" s="1" t="s">
        <v>193</v>
      </c>
    </row>
    <row r="68" spans="1:6" x14ac:dyDescent="0.3">
      <c r="A68" s="6" t="s">
        <v>188</v>
      </c>
      <c r="B68" s="7" t="s">
        <v>189</v>
      </c>
      <c r="C68" s="8" t="s">
        <v>190</v>
      </c>
      <c r="D68" s="9" t="s">
        <v>191</v>
      </c>
      <c r="E68" s="1" t="s">
        <v>192</v>
      </c>
      <c r="F68" s="3" t="s">
        <v>197</v>
      </c>
    </row>
  </sheetData>
  <pageMargins left="0.70866141732283472" right="0.70866141732283472" top="0.74803149606299213" bottom="0.74803149606299213" header="0.31496062992125984" footer="0.31496062992125984"/>
  <pageSetup paperSize="9" scale="48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2025-01-12T11:02:11Z</cp:lastPrinted>
  <dcterms:created xsi:type="dcterms:W3CDTF">2024-08-03T13:01:19Z</dcterms:created>
  <dcterms:modified xsi:type="dcterms:W3CDTF">2026-03-27T23:56:45Z</dcterms:modified>
</cp:coreProperties>
</file>