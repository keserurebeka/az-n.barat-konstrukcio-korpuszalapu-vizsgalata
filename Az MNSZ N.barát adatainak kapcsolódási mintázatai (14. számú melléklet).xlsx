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ser\OneDrive\Dokumentumok\elte\otdk\"/>
    </mc:Choice>
  </mc:AlternateContent>
  <xr:revisionPtr revIDLastSave="0" documentId="13_ncr:1_{986F900D-7D25-4D98-B222-95F04519950D}" xr6:coauthVersionLast="47" xr6:coauthVersionMax="47" xr10:uidLastSave="{00000000-0000-0000-0000-000000000000}"/>
  <bookViews>
    <workbookView xWindow="-108" yWindow="-108" windowWidth="23256" windowHeight="12456" xr2:uid="{D57DF035-776B-4DB0-A6E7-F5B8826EA22F}"/>
  </bookViews>
  <sheets>
    <sheet name="Munk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5" i="1"/>
  <c r="I26" i="1"/>
  <c r="I24" i="1"/>
  <c r="I23" i="1"/>
  <c r="I22" i="1"/>
  <c r="J22" i="1" s="1"/>
  <c r="I21" i="1"/>
  <c r="I20" i="1"/>
  <c r="I19" i="1"/>
  <c r="I18" i="1"/>
  <c r="J18" i="1" s="1"/>
  <c r="I17" i="1"/>
  <c r="I16" i="1"/>
  <c r="I15" i="1"/>
  <c r="I14" i="1"/>
  <c r="J14" i="1" s="1"/>
  <c r="I13" i="1"/>
  <c r="I12" i="1"/>
  <c r="I11" i="1"/>
  <c r="J11" i="1" s="1"/>
  <c r="J15" i="1" l="1"/>
  <c r="J23" i="1"/>
  <c r="J16" i="1"/>
  <c r="J20" i="1"/>
  <c r="J24" i="1"/>
  <c r="J19" i="1"/>
  <c r="J12" i="1"/>
  <c r="J13" i="1"/>
  <c r="J17" i="1"/>
  <c r="J21" i="1"/>
  <c r="J26" i="1"/>
</calcChain>
</file>

<file path=xl/sharedStrings.xml><?xml version="1.0" encoding="utf-8"?>
<sst xmlns="http://schemas.openxmlformats.org/spreadsheetml/2006/main" count="1277" uniqueCount="868">
  <si>
    <t>#29191197</t>
  </si>
  <si>
    <t>volna hozzá egy olimpiai totószelvényt is. A</t>
  </si>
  <si>
    <t>sportbarátok</t>
  </si>
  <si>
    <t>megjósolhatják, hogy hány aranyat nyerünk</t>
  </si>
  <si>
    <t>#46349621</t>
  </si>
  <si>
    <t>madarat, és akkor is ő volt a legremekebb</t>
  </si>
  <si>
    <t>madárbarát</t>
  </si>
  <si>
    <t>, amikor ő mégis elengedte "? Apa erre így</t>
  </si>
  <si>
    <t>#50400463</t>
  </si>
  <si>
    <t>rendszerből következően a települési önkormányzat</t>
  </si>
  <si>
    <t>kisebbségbarát</t>
  </si>
  <si>
    <t>vagy kisebbségellenes beállítottságának</t>
  </si>
  <si>
    <t>#56129464</t>
  </si>
  <si>
    <t>helyzetű fiatalok-kal való foglalkozás az</t>
  </si>
  <si>
    <t>Emberbarát</t>
  </si>
  <si>
    <t>Alapítvány mentálhigiénés játszóházában</t>
  </si>
  <si>
    <t>#62930731</t>
  </si>
  <si>
    <t>képviselőtársam arról is beszélt, hogy bizony, ha</t>
  </si>
  <si>
    <t>vállalkozóbarát</t>
  </si>
  <si>
    <t>lett volna ez a kormány, akkor figyelmet</t>
  </si>
  <si>
    <t>#63960377</t>
  </si>
  <si>
    <t>boldogul. Ezzel is bizonyíthatja azt, hogy</t>
  </si>
  <si>
    <t>polgárbarát</t>
  </si>
  <si>
    <r>
      <t>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El kell fogadtatni a társadalommal</t>
    </r>
  </si>
  <si>
    <t>#64132624</t>
  </si>
  <si>
    <t>. Nem akarok arról beszélni, hogy milyen</t>
  </si>
  <si>
    <t>önkormányzatbarát</t>
  </si>
  <si>
    <t>ígéretek hangzottak el, ezt a választási</t>
  </si>
  <si>
    <t>#91307932</t>
  </si>
  <si>
    <t>akkor nem De ha azt nézem, hogy melyik a</t>
  </si>
  <si>
    <t>felhasználóbarátabb</t>
  </si>
  <si>
    <t>, akkor igen. Ha azt nézem, hogy melyiket</t>
  </si>
  <si>
    <t>#94708920</t>
  </si>
  <si>
    <t>Kijelentette: sikerült újjáépíteni azt a</t>
  </si>
  <si>
    <t>családbarát</t>
  </si>
  <si>
    <t>támogatási rendszert, amelyet az előző</t>
  </si>
  <si>
    <t>#101187120</t>
  </si>
  <si>
    <r>
      <t>megteszünk......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" Ahhoz, hogy valami</t>
    </r>
  </si>
  <si>
    <t>életbarát</t>
  </si>
  <si>
    <t>családtervezéssel előálljatok ahhoz kevesek</t>
  </si>
  <si>
    <t>#114561233</t>
  </si>
  <si>
    <t>hogy ugyan mennyi van a számlámon! Ez egy</t>
  </si>
  <si>
    <t>ügyfélbarát</t>
  </si>
  <si>
    <t>húzás lenne, csak azt nem tudom, hogy miért</t>
  </si>
  <si>
    <t>#117813364</t>
  </si>
  <si>
    <r>
      <t>Barátság és testvériség!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Most jó lenni</t>
    </r>
  </si>
  <si>
    <t>gyermekbarátnak</t>
  </si>
  <si>
    <r>
      <t>, nem igaz?=)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Baráti üdvözlettel:</t>
    </r>
  </si>
  <si>
    <t>#121060721</t>
  </si>
  <si>
    <t>miből gondolja pártunk és kormányunk, hogy "</t>
  </si>
  <si>
    <t>" intézkedései következtében a következő</t>
  </si>
  <si>
    <t>#122427500</t>
  </si>
  <si>
    <t>szellőző, valamint igény szerinti koszolás stb.</t>
  </si>
  <si>
    <t>Vasútbarát</t>
  </si>
  <si>
    <t>Magazin: Megveheted a MÁV Nosztalgia Kft-nél</t>
  </si>
  <si>
    <t>#123796654</t>
  </si>
  <si>
    <t>(ha eltalálná) rúgó) meglopnak minket. a</t>
  </si>
  <si>
    <t>legszebb örömétől fosztanak meg minket.</t>
  </si>
  <si>
    <t>#134423664</t>
  </si>
  <si>
    <t>szempontból is igen alapos, kiterjed minden</t>
  </si>
  <si>
    <t>emberbarát</t>
  </si>
  <si>
    <t>részletre. A derék rendőr, üldözvén a kukoricásba</t>
  </si>
  <si>
    <t>#135990974</t>
  </si>
  <si>
    <t>és nem pénzpazarlás. Gyors és elsősorban</t>
  </si>
  <si>
    <t>környezetbarát</t>
  </si>
  <si>
    <t>. Ellentétben a lassú, füstös buszokkal!</t>
  </si>
  <si>
    <t>#140630026</t>
  </si>
  <si>
    <t>beavatkozást erősítenék vagy építenék le, illetve a</t>
  </si>
  <si>
    <t>vállalkozásbarát</t>
  </si>
  <si>
    <t>környezet kialakítására koncentrálnának</t>
  </si>
  <si>
    <t>#142093872</t>
  </si>
  <si>
    <t>Egyiptomot, Kuvaitot és Szaúd-Arábiát, hogy</t>
  </si>
  <si>
    <t>nyugatbarát</t>
  </si>
  <si>
    <r>
      <t>politikát folytat.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Az egyiptomi külügyminiszter</t>
    </r>
  </si>
  <si>
    <t>#156302594</t>
  </si>
  <si>
    <t>posztért. A kampányban " kifelé " Nyugat- és</t>
  </si>
  <si>
    <t>kapitalizmusbarátként</t>
  </si>
  <si>
    <t>lépett föl, de hangoztatta, hogy Romániának</t>
  </si>
  <si>
    <t>#165969641</t>
  </si>
  <si>
    <t>alapanyagul nem tisztán repceolajat vagy más</t>
  </si>
  <si>
    <t>olajat használnak, hanem a gázolajgyártás</t>
  </si>
  <si>
    <t>#169236070</t>
  </si>
  <si>
    <t>miniszterhez. Kaliforniai sötétséget vagy</t>
  </si>
  <si>
    <t>fogyasztóbarát</t>
  </si>
  <si>
    <r>
      <t>energiapolitikát tervez a kormány? </t>
    </r>
    <r>
      <rPr>
        <i/>
        <sz val="7"/>
        <color rgb="FF008000"/>
        <rFont val="Trebuchet MS"/>
        <family val="2"/>
        <charset val="238"/>
      </rPr>
      <t>&lt;/p&gt;&lt;p&gt;</t>
    </r>
  </si>
  <si>
    <t>#176446498</t>
  </si>
  <si>
    <t>arra irányul, hogy a kajak-kenu sportban</t>
  </si>
  <si>
    <r>
      <t>image-t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alakítsunk ki, mert akkor</t>
    </r>
  </si>
  <si>
    <t>#181177414</t>
  </si>
  <si>
    <t>korszerű, igazságos szociális rendszert,</t>
  </si>
  <si>
    <t>gazdaságpolitikát, tisztességes, átlátható</t>
  </si>
  <si>
    <t>#188024155</t>
  </si>
  <si>
    <t>jobbágyfelszabadítástól, és nézzük meg, mikor voltak "</t>
  </si>
  <si>
    <t>agrárbarát</t>
  </si>
  <si>
    <t>" és mikor " agrárellenes " periódusok</t>
  </si>
  <si>
    <t>#196490929</t>
  </si>
  <si>
    <t>érkezett, kifejezetten szerény, visszafogott és</t>
  </si>
  <si>
    <t>magatartást szorgalmazó felszólítás elvben</t>
  </si>
  <si>
    <t>#199421187</t>
  </si>
  <si>
    <t>lakosság a magyar társadalmat nem tartja sem</t>
  </si>
  <si>
    <r>
      <t>, sem gyermekellenesnek.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A gyermekekkel</t>
    </r>
  </si>
  <si>
    <t>#204738247</t>
  </si>
  <si>
    <t>szennyezőket a megelőzésre és a korszerűbb,</t>
  </si>
  <si>
    <t>technológia bevezetésére akarják ösztönözni</t>
  </si>
  <si>
    <t>#204984348</t>
  </si>
  <si>
    <t>meghonosítani az úgynevezett integrált, tehát</t>
  </si>
  <si>
    <r>
      <t>gyümölcstermesztést.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Inántsy Ferenc</t>
    </r>
  </si>
  <si>
    <t>#211424478</t>
  </si>
  <si>
    <t>és területi integritást veszélyeztető "</t>
  </si>
  <si>
    <t>álbarát</t>
  </si>
  <si>
    <t>, szomszéd " -ként jellemzik, amely nem</t>
  </si>
  <si>
    <t>#212150387</t>
  </si>
  <si>
    <t>az APEH átalakítására, ő hirdette meg a "</t>
  </si>
  <si>
    <t>adóhatóság " elvét. Hibákat persze mindenhol</t>
  </si>
  <si>
    <t>#219689621</t>
  </si>
  <si>
    <t>ünnepének keretében tartott bemutatón történt.</t>
  </si>
  <si>
    <t>Állatbarát</t>
  </si>
  <si>
    <t>döntését később azzal magyarázta, hogy</t>
  </si>
  <si>
    <t>#222214164</t>
  </si>
  <si>
    <t>vállán az esthajnalcsillagot ", hanem a</t>
  </si>
  <si>
    <t>könyvbarát</t>
  </si>
  <si>
    <t>lelkébe is fényt varázsol, a cselekedeteire</t>
  </si>
  <si>
    <t>#232857449</t>
  </si>
  <si>
    <t>segítségével kívánja a magyar irodalmat és a</t>
  </si>
  <si>
    <t>közönséget jövőnk érdekében szolgálni,</t>
  </si>
  <si>
    <t>#257525892</t>
  </si>
  <si>
    <t>ígért: csapok elzárása, családok támogatása,</t>
  </si>
  <si>
    <t>politika, csökkenő infláció, gazdasági</t>
  </si>
  <si>
    <t>#262097699</t>
  </si>
  <si>
    <t>ill. bizottságok irányítják és segítik a</t>
  </si>
  <si>
    <t>természetbarát</t>
  </si>
  <si>
    <r>
      <t>egyesületek és szakosztályok munkáját. </t>
    </r>
    <r>
      <rPr>
        <i/>
        <sz val="7"/>
        <color rgb="FF008000"/>
        <rFont val="Trebuchet MS"/>
        <family val="2"/>
        <charset val="238"/>
      </rPr>
      <t>&lt;/p&gt;</t>
    </r>
  </si>
  <si>
    <t>#270675821</t>
  </si>
  <si>
    <t>Mirabeau megvesztegetettségének, La Fayette</t>
  </si>
  <si>
    <t>királybarát</t>
  </si>
  <si>
    <t>szolgálatainak bizonyítékai mellett legterhelőbbek</t>
  </si>
  <si>
    <t>#283666531</t>
  </si>
  <si>
    <t>kevésbé aggasztó híreket hallhatunk egy másik</t>
  </si>
  <si>
    <t>állatbarát</t>
  </si>
  <si>
    <t>egyesület felől is. " A Magyar Macskabarátok</t>
  </si>
  <si>
    <t>#303928555</t>
  </si>
  <si>
    <t>kormányzati esélye, s egy valamelyest is</t>
  </si>
  <si>
    <t>magyarbarát</t>
  </si>
  <si>
    <t>kormány fejére vonhatja a tömegek haragját</t>
  </si>
  <si>
    <t>#313125601</t>
  </si>
  <si>
    <t>szomszédunk, egy nagyon derekas, jó szívű</t>
  </si>
  <si>
    <t>hölgy hallotta a minap, hogy a (gonosz</t>
  </si>
  <si>
    <t>#314589405</t>
  </si>
  <si>
    <t>Zrenjanin, a tartományi képzőművészek és a</t>
  </si>
  <si>
    <t>festőbarátok</t>
  </si>
  <si>
    <t>nevében Kelemen Dezső, Dr. Várady József</t>
  </si>
  <si>
    <t>#320912563</t>
  </si>
  <si>
    <t>termékek teljes életciklusa során, valamint a</t>
  </si>
  <si>
    <t>folyamatok és termékek szélesebb körű alkalmazását</t>
  </si>
  <si>
    <t>#328754000</t>
  </si>
  <si>
    <t>működésének beindítása legtöbbször kezdeti lépés a</t>
  </si>
  <si>
    <r>
      <t>megoldások bevezetéséhez.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1.9 A parkok</t>
    </r>
  </si>
  <si>
    <t>#336007568</t>
  </si>
  <si>
    <t>tűzte ki. Ezenkívül a Közösség, mivel egy</t>
  </si>
  <si>
    <t>közlekedési mód fejlődéséhez járul hozzá</t>
  </si>
  <si>
    <t>#341162474</t>
  </si>
  <si>
    <r>
      <t>kapacitástartalékokkal rendelkezik.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Többen szóltak a</t>
    </r>
  </si>
  <si>
    <t>fuvarozási módról: energiafelhasználása</t>
  </si>
  <si>
    <t>#341555250</t>
  </si>
  <si>
    <t>Sajnáljuk, hogy az elmúlt másfél évet a magát</t>
  </si>
  <si>
    <t>családbarátnak</t>
  </si>
  <si>
    <t>nevező kormány nem használta ki egy átfogó</t>
  </si>
  <si>
    <t>#344398990</t>
  </si>
  <si>
    <t>jó és helyes dolog. Még jobb lenne, ha a</t>
  </si>
  <si>
    <t>kormány még jobban odafigyelne a szegényekre</t>
  </si>
  <si>
    <t>#344583940</t>
  </si>
  <si>
    <t>adótörvények benyújtásának az időszakában, ami a</t>
  </si>
  <si>
    <t>sportbarát</t>
  </si>
  <si>
    <t>környezetet mind befolyásolhatja. Hiszen</t>
  </si>
  <si>
    <t>#346882102</t>
  </si>
  <si>
    <t>törvénymódosítás helyett sokkal inkább helye lenne egy</t>
  </si>
  <si>
    <t>törvénymódosításnak, mert úgy ítéljük meg</t>
  </si>
  <si>
    <t>#348097864</t>
  </si>
  <si>
    <t>belenézhet a főkönyvébe - ezt nem tartjuk</t>
  </si>
  <si>
    <t>civilbarát</t>
  </si>
  <si>
    <t>lépésnek. Nekünk az a véleményünk, hogy</t>
  </si>
  <si>
    <t>#355553353</t>
  </si>
  <si>
    <t>mely hazánkat Európa egyik legkorszerűbb,</t>
  </si>
  <si>
    <t>legkörnyezetbarátabb</t>
  </si>
  <si>
    <t>szállítási szerkezetű országává teheti.</t>
  </si>
  <si>
    <t>#360330785</t>
  </si>
  <si>
    <t>fejlesztések elősegítésével egyszerre támogatják a</t>
  </si>
  <si>
    <t>, versenyképes gazdaság kiépülését, amely</t>
  </si>
  <si>
    <t>#362616069</t>
  </si>
  <si>
    <t>se egészségkárosítást. Miért nem ezeket a</t>
  </si>
  <si>
    <t>termékeket támogatjuk azzal, hogy a szennyező</t>
  </si>
  <si>
    <t>#363279509</t>
  </si>
  <si>
    <t>úr, az önök kormányzása idején és az önök</t>
  </si>
  <si>
    <t>politikájának következtében a kistelepüléseken</t>
  </si>
  <si>
    <t>#364597223</t>
  </si>
  <si>
    <t>rendőrség nem azért nem büntet, merthogy</t>
  </si>
  <si>
    <t>polgárbarátnak</t>
  </si>
  <si>
    <t>kell lennie, hanem csak azokat a feladatokat</t>
  </si>
  <si>
    <t>#364726092</t>
  </si>
  <si>
    <t>Országgyűlést, kiegészíti -e az ülés napirendjét a</t>
  </si>
  <si>
    <t>gyermekbarát</t>
  </si>
  <si>
    <t>társadalmi környezet kialakítása érdekében</t>
  </si>
  <si>
    <t>#377076509</t>
  </si>
  <si>
    <r>
      <t>méltán mondhatjuk, hogy civilbarát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és</t>
    </r>
  </si>
  <si>
    <t>egyházbarát</t>
  </si>
  <si>
    <t>ez a törvénymódosítási javaslat, miközben</t>
  </si>
  <si>
    <t>#379936034</t>
  </si>
  <si>
    <r>
      <t>amikor bármiféle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természetvédő vagy</t>
    </r>
  </si>
  <si>
    <r>
      <t>, vagy zöldmozgalom létrejött. Tehát a </t>
    </r>
    <r>
      <rPr>
        <i/>
        <sz val="7"/>
        <color rgb="FF008000"/>
        <rFont val="Trebuchet MS"/>
        <family val="2"/>
        <charset val="238"/>
      </rPr>
      <t>&lt;/p&gt;</t>
    </r>
  </si>
  <si>
    <t>#382596012</t>
  </si>
  <si>
    <t>javaslat. Már az Áe. is tartalmazta azt az</t>
  </si>
  <si>
    <r>
      <t>szabályt,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hogy az ügyféltől nem kérhető</t>
    </r>
  </si>
  <si>
    <t>#403755927</t>
  </si>
  <si>
    <t>sokszor hallhattuk a kormány képviselőitől a</t>
  </si>
  <si>
    <t>politika fontosságát hangsúlyozni. Ma már</t>
  </si>
  <si>
    <t>#407178683</t>
  </si>
  <si>
    <t>Talán köztudomású, hogy az ellenzék ezt a</t>
  </si>
  <si>
    <t>politikát nem támogatja. És ezáltal ránk</t>
  </si>
  <si>
    <t>#414986024</t>
  </si>
  <si>
    <t>-vonzáskörzetet - a Csallóközben a sokkal</t>
  </si>
  <si>
    <t>környezetbarátabb</t>
  </si>
  <si>
    <t>vasútnak kell összekötnie. A korszerű és</t>
  </si>
  <si>
    <t>#418570372</t>
  </si>
  <si>
    <t>munkahelyeket teremt majd, ráadásul olyan fontos</t>
  </si>
  <si>
    <t>szabályozásnak nyit kaput, ami lehetővé</t>
  </si>
  <si>
    <t>#419295210</t>
  </si>
  <si>
    <t>ért el 155cm-el Ivan Sihelský, a Kurinci</t>
  </si>
  <si>
    <t>Lovasbarátok</t>
  </si>
  <si>
    <t>Egyesületének versenyzője. A rendezvényre</t>
  </si>
  <si>
    <t>#419573938</t>
  </si>
  <si>
    <r>
      <t>&lt;/p&gt; </t>
    </r>
    <r>
      <rPr>
        <sz val="7"/>
        <color rgb="FF000000"/>
        <rFont val="Trebuchet MS"/>
        <family val="2"/>
        <charset val="238"/>
      </rPr>
      <t>Vas Gyula Subaru Trezia 1.4D Comfort:</t>
    </r>
  </si>
  <si>
    <t>Családbarát</t>
  </si>
  <si>
    <r>
      <t>gesztus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Akár azzal a metaforával is kezdhetnénk</t>
    </r>
  </si>
  <si>
    <t>#424657424</t>
  </si>
  <si>
    <t>és gazdasági előnyök. A termékek nem csak</t>
  </si>
  <si>
    <t>módon kerülnek előállításra, de olcsóbbak</t>
  </si>
  <si>
    <t>#438075997</t>
  </si>
  <si>
    <r>
      <t>a gázellátásban.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Új uniós források a</t>
    </r>
  </si>
  <si>
    <r>
      <t>jövőért eu_news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Az új támogatások oroszlánrészét</t>
    </r>
  </si>
  <si>
    <t>#442602024</t>
  </si>
  <si>
    <t>értéket hoz a cég számára, kialakítása nagyon</t>
  </si>
  <si>
    <t>felhasználóbarát</t>
  </si>
  <si>
    <t>, és nyílt technológiára épül, azaz nemcsak</t>
  </si>
  <si>
    <t>#445906354</t>
  </si>
  <si>
    <t>mindent megpróbáltak a lehető leginkább</t>
  </si>
  <si>
    <t>környezetbaráttá</t>
  </si>
  <si>
    <t>tenni, így a doboza kicsi, a legalapvetőbb</t>
  </si>
  <si>
    <t>#451105927</t>
  </si>
  <si>
    <t>érdekes, picit sötétebb tónusú, ám mégiscsak</t>
  </si>
  <si>
    <t>mondható játék fejlesztésére kapott felhatalmazást</t>
  </si>
  <si>
    <t>#452258288</t>
  </si>
  <si>
    <t>melyben a főhőst kínozzák meg kicsit sem</t>
  </si>
  <si>
    <t>módszerekkel. [hirdetes] Természetesen</t>
  </si>
  <si>
    <t>#453978017</t>
  </si>
  <si>
    <t>biztosít. Hibái ellenére nem várható, hogy túl</t>
  </si>
  <si>
    <t>pénztárcabarát</t>
  </si>
  <si>
    <t>lesz, megfogják kérni az árát. Nem hiába</t>
  </si>
  <si>
    <t>#460103099</t>
  </si>
  <si>
    <t>Fényes fekete borítás Élettartam: 30 000 óra</t>
  </si>
  <si>
    <t>Környezetbarát</t>
  </si>
  <si>
    <r>
      <t>technológia (higanymentes)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Shrek cicája</t>
    </r>
  </si>
  <si>
    <t>#461418361</t>
  </si>
  <si>
    <t>a Fortune magazin a világ tíz, leginkább</t>
  </si>
  <si>
    <t>óriásvállalata közé sorolt - jelenleg is</t>
  </si>
  <si>
    <t>#461942643</t>
  </si>
  <si>
    <t>és perifériagyártási ágazatban kiemelten</t>
  </si>
  <si>
    <t>társaságként elismert ASUS bejelentette</t>
  </si>
  <si>
    <t>#463861064</t>
  </si>
  <si>
    <t>vezetéknélküli interneten sem minden oldal</t>
  </si>
  <si>
    <t>. Egyre több társaság, amely felnőtteknek</t>
  </si>
  <si>
    <t>#464117054</t>
  </si>
  <si>
    <t>elmondható, hogy a megoldás sokkal inkább</t>
  </si>
  <si>
    <t>: alapértelmezés szerint a szoftver már</t>
  </si>
  <si>
    <t>#478747539</t>
  </si>
  <si>
    <t>melegvíz szolgáltatását. Terveik szerint a</t>
  </si>
  <si>
    <t>fűtőanyagból a lakosság is vásárolhat.</t>
  </si>
  <si>
    <t>#483987663</t>
  </si>
  <si>
    <t>először alkalmazta az otthonszülés gyermek- és</t>
  </si>
  <si>
    <t>szülőbarát</t>
  </si>
  <si>
    <t>eljárását. Utóbbi kapcsán viszont azt is</t>
  </si>
  <si>
    <t>#486628060</t>
  </si>
  <si>
    <t>az ombudsman ezzel szemben hivatalból "</t>
  </si>
  <si>
    <t>", az erős intézményeket a gyengék jogai</t>
  </si>
  <si>
    <t>#486978012</t>
  </si>
  <si>
    <t>gazdaságpolitikai intézkedés hatását tükrözi. Egy</t>
  </si>
  <si>
    <t>üzletbarátabb</t>
  </si>
  <si>
    <t>környezetben végrehajtott, a bankrendszer</t>
  </si>
  <si>
    <t>#492736336</t>
  </si>
  <si>
    <t>Budapesten a Kiváló Online Tartalom és a</t>
  </si>
  <si>
    <t>Gyermekbarát</t>
  </si>
  <si>
    <t>média 2011 díjakat- mondta a Független</t>
  </si>
  <si>
    <t>#496205145</t>
  </si>
  <si>
    <t>közigazgatás kultúrája a polgárokat szolgáló,</t>
  </si>
  <si>
    <t>kultúra, és nem a korábbi, az ügyfeleket</t>
  </si>
  <si>
    <t>#497187727</t>
  </si>
  <si>
    <t>mérlegelők hányada akkor 57 százalékot tett ki,</t>
  </si>
  <si>
    <t>idegenbarátnak</t>
  </si>
  <si>
    <t>5 százalék bizonyult. 2001-től fokozatosan</t>
  </si>
  <si>
    <t>#500823659</t>
  </si>
  <si>
    <t>érdekességekkel szolgál. Az idei vásár a</t>
  </si>
  <si>
    <t>építészet középpontba helyezésével a szakmának</t>
  </si>
  <si>
    <t>#503404246</t>
  </si>
  <si>
    <t>bioüzemanyagok jelenthetik a fosszilis üzemanyagok</t>
  </si>
  <si>
    <t>alternatíváját. Hozzátette: " gondoskodni</t>
  </si>
  <si>
    <t>#503541093</t>
  </si>
  <si>
    <t>bejelentették, és azóta is bőszen hangoztatják, hogy</t>
  </si>
  <si>
    <t>politikát folytatnak, az ország egyes régiói</t>
  </si>
  <si>
    <t>#505745401</t>
  </si>
  <si>
    <t>idehaza ahelyett, hogy növekedne, visszaesik a</t>
  </si>
  <si>
    <t>módszerekkel megtermelt villamosenergia</t>
  </si>
  <si>
    <t>#507373320</t>
  </si>
  <si>
    <t>forint összegű beruházás részeként olyan</t>
  </si>
  <si>
    <t>nyomdagépeket szerzett be, amelyek hosszú</t>
  </si>
  <si>
    <t>#510522685</t>
  </si>
  <si>
    <t>szociáldemokrata-liberális román kormány tevékenysége " nem tűnik</t>
  </si>
  <si>
    <t>kisebbségbarátnak</t>
  </si>
  <si>
    <t>, sőt csorbítja a magyar-román etnikumközi</t>
  </si>
  <si>
    <t>#515818567</t>
  </si>
  <si>
    <t>történik akkor, amikor még mindig egy állítólag</t>
  </si>
  <si>
    <t>jobboldali kormány van hatalmon, amelynek</t>
  </si>
  <si>
    <t>#516434156</t>
  </si>
  <si>
    <t>gyakorlatilag minden a háztartások által használt</t>
  </si>
  <si>
    <t>berendezésre és felszerelésre vonatkozna</t>
  </si>
  <si>
    <t>#516583089</t>
  </si>
  <si>
    <t>Julija Timosenko alakított kormányt, az</t>
  </si>
  <si>
    <t>oroszbarát</t>
  </si>
  <si>
    <t>politikai tömb pedig ellenzékbe szorult</t>
  </si>
  <si>
    <t>#517368283</t>
  </si>
  <si>
    <t>fegyveres szervezetek - köztük az eredetileg</t>
  </si>
  <si>
    <t>szovjetbarát</t>
  </si>
  <si>
    <t>kommunista Kolumbiai Forradalmi Fegyveres</t>
  </si>
  <si>
    <t>#536578950</t>
  </si>
  <si>
    <r>
      <t>szolgáló választékbővülést eredményezhet. </t>
    </r>
    <r>
      <rPr>
        <i/>
        <sz val="7"/>
        <color rgb="FF008000"/>
        <rFont val="Trebuchet MS"/>
        <family val="2"/>
        <charset val="238"/>
      </rPr>
      <t>&lt;/p&gt;</t>
    </r>
  </si>
  <si>
    <r>
      <t>töltőállomást adott át a Mol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Környezetbarát</t>
    </r>
  </si>
  <si>
    <t>#536772069</t>
  </si>
  <si>
    <t>Szerintük a bioüzemanyagok nem nyújtanak</t>
  </si>
  <si>
    <t>éghajlatbarát</t>
  </si>
  <si>
    <t>megoldást energiaigényünk kielégítésére</t>
  </si>
  <si>
    <t>#536895235</t>
  </si>
  <si>
    <t>a Tudatos Vásárlók Egyesületének tippjei</t>
  </si>
  <si>
    <t>védekezés szúnyogok és kullancsok ellen</t>
  </si>
  <si>
    <t>#536895912</t>
  </si>
  <si>
    <t>fűzfából: készítsünk magunknak esztétikus és</t>
  </si>
  <si>
    <r>
      <t>növényi sátrat!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Az építkezésnek csak</t>
    </r>
  </si>
  <si>
    <t>#536987808</t>
  </si>
  <si>
    <t>vendéglátónknak. Ez az ajándék ráadásul nem csak</t>
  </si>
  <si>
    <t>, hanem hasznos is: ha szobanövényt ajándékozunk</t>
  </si>
  <si>
    <t>#537123669</t>
  </si>
  <si>
    <r>
      <t>éppen a non-profit szféra szereplői.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A</t>
    </r>
  </si>
  <si>
    <r>
      <t>munkahelyeken kisebb a fluktuáció </t>
    </r>
    <r>
      <rPr>
        <i/>
        <sz val="7"/>
        <color rgb="FF008000"/>
        <rFont val="Trebuchet MS"/>
        <family val="2"/>
        <charset val="238"/>
      </rPr>
      <t>&lt;/p&gt;&lt;p&gt;</t>
    </r>
  </si>
  <si>
    <t>#538451398</t>
  </si>
  <si>
    <r>
      <t>tevékenység.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Milliós összegeket nyerhetnek a</t>
    </r>
  </si>
  <si>
    <t>munkahelyek A cégek negyede már munkaerő-felvételt</t>
  </si>
  <si>
    <t>#543164819</t>
  </si>
  <si>
    <t>Coltnál ez nem volt benne a tervben, sőt, a</t>
  </si>
  <si>
    <t>elemeket nagy ívben kihajították az autóból</t>
  </si>
  <si>
    <t>#545664103</t>
  </si>
  <si>
    <t>bajorok az " i " típusnevet szabadalmaztatták</t>
  </si>
  <si>
    <t>modelljeik számára, de az eddig bemutatott</t>
  </si>
  <si>
    <t>#545873683</t>
  </si>
  <si>
    <t>jelenleg nemcsak egyre biztonságosabb és</t>
  </si>
  <si>
    <t>autók gyártását írják elő, a gumigyártókkal</t>
  </si>
  <si>
    <t>#545963721</t>
  </si>
  <si>
    <r>
      <t>hatótávolság: 150 km.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Cikkajánló </t>
    </r>
    <r>
      <rPr>
        <i/>
        <sz val="7"/>
        <color rgb="FF008000"/>
        <rFont val="Trebuchet MS"/>
        <family val="2"/>
        <charset val="238"/>
      </rPr>
      <t>&lt;/p&gt;&lt;p&gt;</t>
    </r>
  </si>
  <si>
    <r>
      <t>kisautók - összehasonlító teszt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eRuf</t>
    </r>
  </si>
  <si>
    <t>#555182063</t>
  </si>
  <si>
    <t>állatok világnapján a kedvenceiket ünneplik az</t>
  </si>
  <si>
    <t>állatbarátok</t>
  </si>
  <si>
    <t>, ezen a napon köszönik meg az állatoknak</t>
  </si>
  <si>
    <t>#555209979</t>
  </si>
  <si>
    <r>
      <t>súlyának.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Háttérképek Jobbnál jobb</t>
    </r>
  </si>
  <si>
    <t>háttérképek az O-Mobilon Oplogók Jobbnál</t>
  </si>
  <si>
    <t>#559184508</t>
  </si>
  <si>
    <t>autópálya-program, Új Magyarország program,</t>
  </si>
  <si>
    <t>adózás, kedvezményes lakáshitel-rendszer</t>
  </si>
  <si>
    <t>#561042818</t>
  </si>
  <si>
    <r>
      <t>http://www.nki.hu) olvasható.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attilano</t>
    </r>
  </si>
  <si>
    <r>
      <t>sportautó a Lotustól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Az angol Lotus autógyár</t>
    </r>
  </si>
  <si>
    <t>#563406306</t>
  </si>
  <si>
    <t>hogy a babafürdetőnek nemcsak kíméletes és</t>
  </si>
  <si>
    <t>bőrbarát</t>
  </si>
  <si>
    <t>, hanem ápoló és hidratáló összetevőket</t>
  </si>
  <si>
    <t>#576624876</t>
  </si>
  <si>
    <t>eltérően inkább a könnyedebb hangvételű,</t>
  </si>
  <si>
    <t>közönségbarát</t>
  </si>
  <si>
    <t>filmek irányába fordult, ezért a " rózsaszín</t>
  </si>
  <si>
    <t>#576695587</t>
  </si>
  <si>
    <t>de Korine előző filmjeinél sokkal inkább</t>
  </si>
  <si>
    <t>nézőbarátnak</t>
  </si>
  <si>
    <t>hangzik: nagy része egy skót kommunában</t>
  </si>
  <si>
    <t>#596463272</t>
  </si>
  <si>
    <t>minisztérium nemrég pályázatot írt ki a</t>
  </si>
  <si>
    <t>kerékpárosbarát</t>
  </si>
  <si>
    <t>munkahely és a kerékpárosbarát település</t>
  </si>
  <si>
    <t>#607085465</t>
  </si>
  <si>
    <t>Közigazgatási és Igazságügyi Minisztérium a</t>
  </si>
  <si>
    <t>igazságszolgáltatást célzó jogszabály-módosítási</t>
  </si>
  <si>
    <t>#611559850</t>
  </si>
  <si>
    <t>talpra Fellegi Ádám zongoraművész két másik</t>
  </si>
  <si>
    <t>művészbarátjával</t>
  </si>
  <si>
    <r>
      <t>együtt.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Az egész azzal indult, hogy</t>
    </r>
  </si>
  <si>
    <t>#618314338</t>
  </si>
  <si>
    <t>értékelte a szerb miniszter nyitottságát és</t>
  </si>
  <si>
    <t>magatartását. Jelezte, hogy pozitív fejlemény</t>
  </si>
  <si>
    <t>#619695350</t>
  </si>
  <si>
    <t>volt. Úgy látta, hogy Afganisztánt se a</t>
  </si>
  <si>
    <t>afgán kormány, se a mérsékelt tálibok,</t>
  </si>
  <si>
    <t>#621604656</t>
  </si>
  <si>
    <t>Augusztus 8-án éjjel grúz csapatok támadtak az</t>
  </si>
  <si>
    <t>szakadár Dél-Oszétiára. A déloszét lázadók</t>
  </si>
  <si>
    <t>#634022354</t>
  </si>
  <si>
    <t>megszokhattuk - két verzió is készült. Egyrészt egy</t>
  </si>
  <si>
    <t>rádióbarát</t>
  </si>
  <si>
    <t>, másrészt egy cenzúrázatlan, genszterverzió</t>
  </si>
  <si>
    <t>#668783066</t>
  </si>
  <si>
    <t>eseményeit fokozottan, úgy is mint érdeklődő</t>
  </si>
  <si>
    <t>. Követtem a Polgár lányok pályafutását,</t>
  </si>
  <si>
    <t>#679487511</t>
  </si>
  <si>
    <r>
      <t>legmagasabb szintű jogosultság kell. </t>
    </r>
    <r>
      <rPr>
        <i/>
        <sz val="7"/>
        <color rgb="FF008000"/>
        <rFont val="Trebuchet MS"/>
        <family val="2"/>
        <charset val="238"/>
      </rPr>
      <t>&lt;/p&gt;&lt;p&gt;</t>
    </r>
  </si>
  <si>
    <t>Gyerekbarát</t>
  </si>
  <si>
    <r>
      <t>rendszer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Böngésző védett módban Még</t>
    </r>
  </si>
  <si>
    <t>#679935255</t>
  </si>
  <si>
    <t>Eltörpül a hagyományos PC mellett Fotóink a</t>
  </si>
  <si>
    <t>gépről+ kis méret, halk működés+ alacsony</t>
  </si>
  <si>
    <t>#680439640</t>
  </si>
  <si>
    <t>között. A játékban résztvevők egyike ezt a</t>
  </si>
  <si>
    <t>autót nyerheti meg. Június 17-e és július 2-a</t>
  </si>
  <si>
    <t>#681967573</t>
  </si>
  <si>
    <t>LG Pop másik fontos ismérve, hogy ez egy</t>
  </si>
  <si>
    <t>mobiltelefon, a gyártó közlése szerint</t>
  </si>
  <si>
    <t>#683405334</t>
  </si>
  <si>
    <t>oldal van, amely változatos, ellenőrzött</t>
  </si>
  <si>
    <t>gyerekbarát</t>
  </si>
  <si>
    <t>tartalmat kínál, ezek használatához gyerekböngészőre</t>
  </si>
  <si>
    <t>#686070126</t>
  </si>
  <si>
    <t>bőség zavara. Hogyan lehet kiemelni egy</t>
  </si>
  <si>
    <t>kommersz, hatszemélyes szituációs komédiából</t>
  </si>
  <si>
    <t>#690366333</t>
  </si>
  <si>
    <r>
      <t>felépül.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krisztinab Higanymentes hőmérő </t>
    </r>
    <r>
      <rPr>
        <i/>
        <sz val="7"/>
        <color rgb="FF008000"/>
        <rFont val="Trebuchet MS"/>
        <family val="2"/>
        <charset val="238"/>
      </rPr>
      <t>&lt;p&gt;</t>
    </r>
  </si>
  <si>
    <t>, higany nélküli, s az Európai Unió előírásának</t>
  </si>
  <si>
    <t>#690875845</t>
  </si>
  <si>
    <t>feljutási lehetőséget Boscoreale felől 24 fős</t>
  </si>
  <si>
    <t>járatokkal kívánják biztosítani a turisták</t>
  </si>
  <si>
    <t>#696082134</t>
  </si>
  <si>
    <t>kikapcsolódhatnak. Ugyanilyen család és</t>
  </si>
  <si>
    <t>hely, az " Äbirügg " grillezőhely is, ami</t>
  </si>
  <si>
    <t>#696342091</t>
  </si>
  <si>
    <r>
      <t>www.infochopin.pl honlapon találhatók.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laszlov</t>
    </r>
  </si>
  <si>
    <r>
      <t>repülőt tervez az easyJet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A fapados easyJet</t>
    </r>
  </si>
  <si>
    <t>#696934964</t>
  </si>
  <si>
    <t>konferenciaterembe érkező vendégeket pedig</t>
  </si>
  <si>
    <r>
      <t>busz szállítja majd.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A tervekből</t>
    </r>
  </si>
  <si>
    <t>#697070648</t>
  </si>
  <si>
    <t>legkisebb tagja. Bababarát, gyermekbarát és</t>
  </si>
  <si>
    <t>kamaszbarát</t>
  </si>
  <si>
    <r>
      <t>nyaralások gond nélkül.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Négyéves</t>
    </r>
  </si>
  <si>
    <t>#697215921</t>
  </si>
  <si>
    <t>szabadságukat. A SACR az akciót a Magyar</t>
  </si>
  <si>
    <t>Természetbarát</t>
  </si>
  <si>
    <t>Szövetséggel készítette elő, és már több</t>
  </si>
  <si>
    <t>#698103097</t>
  </si>
  <si>
    <t>saját területén tegyen hozzá valamit ehhez a</t>
  </si>
  <si>
    <t>vendégbarát</t>
  </si>
  <si>
    <t>akcióhoz, hiszen az ország közös érdeke</t>
  </si>
  <si>
    <t>#713690658</t>
  </si>
  <si>
    <t>járulékalap szélesítése véleménye szerint nem</t>
  </si>
  <si>
    <t>piacbarát</t>
  </si>
  <si>
    <t>, hiszen egyértelműen az élőmunka költségeit</t>
  </si>
  <si>
    <t>#718689372</t>
  </si>
  <si>
    <t>mint a hagyományos üzemanyagok, valóban</t>
  </si>
  <si>
    <t>környezetbarátnak</t>
  </si>
  <si>
    <t>mondható. Sok alternatív hajtásmódról még</t>
  </si>
  <si>
    <t>#721616551</t>
  </si>
  <si>
    <t>összepárosítva az ezredvégi, mérsékelten vadóc,</t>
  </si>
  <si>
    <r>
      <t>pop-punk hangzásvilággal.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Kiknek</t>
    </r>
  </si>
  <si>
    <t>#725720290</t>
  </si>
  <si>
    <t>. Az akció szervezői szerint az autóstop</t>
  </si>
  <si>
    <t>, mivel növeli az autók kihasználtságát,</t>
  </si>
  <si>
    <t>#725785988</t>
  </si>
  <si>
    <t>kormányhivatalokká alakítják. A változás célja, az</t>
  </si>
  <si>
    <t>ügyintézés kialakítása. Az állampolgárok</t>
  </si>
  <si>
    <t>#727381782</t>
  </si>
  <si>
    <t>szakhatósági munka tekintélyének megerősítését, az</t>
  </si>
  <si>
    <t>, szolgáltatáselvű működés feltételeinek</t>
  </si>
  <si>
    <t>#727961076</t>
  </si>
  <si>
    <t>az eddiginél átláthatóbban, gyorsabban és</t>
  </si>
  <si>
    <t>módon működik, mint korábban. A vidék már</t>
  </si>
  <si>
    <t>#730585679</t>
  </si>
  <si>
    <t>fogatosok is a falun körbekocsikáztatva a</t>
  </si>
  <si>
    <t>lóbarát</t>
  </si>
  <si>
    <t>közönséget: összesen 24, gumis és fakerekű</t>
  </si>
  <si>
    <t>#734854075</t>
  </si>
  <si>
    <t>Minisztérium már a pályázat meghirdetésekor is</t>
  </si>
  <si>
    <t>megközelítésre törekedett egyebek mellett</t>
  </si>
  <si>
    <t>#742432894</t>
  </si>
  <si>
    <t>március 22. - Megalakul a Sztójay Döme vezette</t>
  </si>
  <si>
    <t>németbarát</t>
  </si>
  <si>
    <r>
      <t>kormány.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március 26. - A szovjet</t>
    </r>
  </si>
  <si>
    <t>#745984304</t>
  </si>
  <si>
    <t>sepsiszéki falu közül Oltszem nyerte el a</t>
  </si>
  <si>
    <t>Madárbarát</t>
  </si>
  <si>
    <t>falu címet, melynek jelképe a falu közelében</t>
  </si>
  <si>
    <t>#750596966</t>
  </si>
  <si>
    <t>567:89 ab IPv6-os cím például a kevéssé</t>
  </si>
  <si>
    <t>b.a.9.8.7.6.5.0.0.0.0.0.0.0.0.0.0.0.0.0.0.0.0.0.8.b.d.0.1.0.0.2.ip6.arpa</t>
  </si>
  <si>
    <t>#756900045</t>
  </si>
  <si>
    <t>száműzték. A britek felosztották országát 13</t>
  </si>
  <si>
    <t>angolbarát</t>
  </si>
  <si>
    <t>főnök között, az évszázados " oszd meg</t>
  </si>
  <si>
    <t>#764508370</t>
  </si>
  <si>
    <r>
      <t>még szebbé.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Ma az ékszerek anyaga</t>
    </r>
  </si>
  <si>
    <t>szövetbarát</t>
  </si>
  <si>
    <t>orvosi fém, titán, vagy anyagában színezett</t>
  </si>
  <si>
    <t>#785053149</t>
  </si>
  <si>
    <t>születése előtt elhalálozott. Szülei erősen</t>
  </si>
  <si>
    <t>érzéseik ellenére a kor divatjának megfelelően</t>
  </si>
  <si>
    <t>#798205154</t>
  </si>
  <si>
    <r>
      <t>káráról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Külső hivatkozások </t>
    </r>
    <r>
      <rPr>
        <i/>
        <sz val="7"/>
        <color rgb="FF008000"/>
        <rFont val="Trebuchet MS"/>
        <family val="2"/>
        <charset val="238"/>
      </rPr>
      <t>&lt;/p&gt;&lt;p&gt;</t>
    </r>
  </si>
  <si>
    <r>
      <t>kert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Madárvédelem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DenesFeri Lápréti</t>
    </r>
  </si>
  <si>
    <t>#804496147</t>
  </si>
  <si>
    <t>Elliot is közreműködött. A kiadvány sokkal "</t>
  </si>
  <si>
    <t>rádióbarátabb</t>
  </si>
  <si>
    <t>" az előző kettőnél, ezt a dance és hip-hop</t>
  </si>
  <si>
    <t>#805578559</t>
  </si>
  <si>
    <t>globális felmelegedés, terrorizmus elleni harc,</t>
  </si>
  <si>
    <t>világgazdaság, demokrácia elleni fedett</t>
  </si>
  <si>
    <t>#806539153</t>
  </si>
  <si>
    <r>
      <t>fel is tünteti, közismerté teszi </t>
    </r>
    <r>
      <rPr>
        <i/>
        <sz val="7"/>
        <color rgb="FF008000"/>
        <rFont val="Trebuchet MS"/>
        <family val="2"/>
        <charset val="238"/>
      </rPr>
      <t>&lt;/p&gt;&lt;p&gt;</t>
    </r>
  </si>
  <si>
    <t>, környezetet nem szennyező gyártási folyamatot</t>
  </si>
  <si>
    <t>#809715983</t>
  </si>
  <si>
    <t>. 2006-ban tűzharcba keveredett orosz és</t>
  </si>
  <si>
    <t>csecsen fegyveresekkel, és életét vesztette</t>
  </si>
  <si>
    <t>#822657423</t>
  </si>
  <si>
    <t>búcsúztatták, és sírjára koszorút küldtek az itteni</t>
  </si>
  <si>
    <r>
      <t>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Emlékére rendszeresen megrendezésre</t>
    </r>
  </si>
  <si>
    <t>#824332022</t>
  </si>
  <si>
    <t>1990. február 14-én Kolozsváron megalakult a Kárpát</t>
  </si>
  <si>
    <t>Egyesület, melynek vezetőségi tagjai sorába</t>
  </si>
  <si>
    <t>#828735923</t>
  </si>
  <si>
    <t>mozgalomban megszületett azonban Mocsáry Lajos</t>
  </si>
  <si>
    <t>nemzetiségbarát</t>
  </si>
  <si>
    <t>, közös magyar-román-szláv összefogásának</t>
  </si>
  <si>
    <t>#830482889</t>
  </si>
  <si>
    <t>felújítási költsége, ráadásul alacsonypadlós és</t>
  </si>
  <si>
    <r>
      <t>járművet kapnak a budapestiek.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Az</t>
    </r>
  </si>
  <si>
    <t>#859833746</t>
  </si>
  <si>
    <t>a nagy Metro-transzparensekre, hogy nem</t>
  </si>
  <si>
    <t>áruház vagy gyerekeket vagy családokat</t>
  </si>
  <si>
    <t>#864205622</t>
  </si>
  <si>
    <t>elegendő segítség a családnak. Az a kormány</t>
  </si>
  <si>
    <t>, amely megbízható, kiszámítható támogatással</t>
  </si>
  <si>
    <t>#870525795</t>
  </si>
  <si>
    <t>figyelni. Nagyon sokat kellene a gazdákat és a</t>
  </si>
  <si>
    <t>kertbarátokat</t>
  </si>
  <si>
    <t>is tanítani. Nagyon gyakori, hogy a hasznos</t>
  </si>
  <si>
    <t>#879112269</t>
  </si>
  <si>
    <r>
      <t>médiatörvény mellett.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Gyengéd szülés,</t>
    </r>
  </si>
  <si>
    <t>bababarát</t>
  </si>
  <si>
    <r>
      <t>kórház.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A nap vendége a Rektori Konferencia</t>
    </r>
  </si>
  <si>
    <t>#879650456</t>
  </si>
  <si>
    <t>másfél milliós beruházással megvalósuló</t>
  </si>
  <si>
    <t>módszerrel egy kaposvári baromfitenyésztési</t>
  </si>
  <si>
    <t>#883780457</t>
  </si>
  <si>
    <t>Tatabánya polgármestere. Önök mit tettek eddig a</t>
  </si>
  <si>
    <t>klímabarát</t>
  </si>
  <si>
    <r>
      <t>címért?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Nagyon fontos, hogy a politikai</t>
    </r>
  </si>
  <si>
    <t>#887395283</t>
  </si>
  <si>
    <t>követeléseit magukba szívták és így tovább.</t>
  </si>
  <si>
    <t>Bevándorlóbarátok</t>
  </si>
  <si>
    <t>, amit esetleg át lehet fordítani nálunk</t>
  </si>
  <si>
    <t>#890859687</t>
  </si>
  <si>
    <t>Lajos: - Azt tudni kell, hogy ezek az egyik</t>
  </si>
  <si>
    <t>leggyerekbarátabb</t>
  </si>
  <si>
    <t>vakcinák, tehát a csecsemőnek is a legkevesebb</t>
  </si>
  <si>
    <t>#894435896</t>
  </si>
  <si>
    <t>Bürokráciacsökkentés, jogszabályalkotás,</t>
  </si>
  <si>
    <t>hivatalok, hát ez a nehéz része, ez a törvényalkotási</t>
  </si>
  <si>
    <t>#898168123</t>
  </si>
  <si>
    <t>egyenlőre nem sikerült bebizonyítani róluk, hogy</t>
  </si>
  <si>
    <t>környezetbarátabbak</t>
  </si>
  <si>
    <r>
      <t>lennének a többinél.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Liphart Ágota</t>
    </r>
  </si>
  <si>
    <t>#904353845</t>
  </si>
  <si>
    <t>madarászok ismertetése mellett, a fővárosi</t>
  </si>
  <si>
    <t>madárbarátok</t>
  </si>
  <si>
    <t>szombaton este hat órától a Fiumei úti</t>
  </si>
  <si>
    <t>#906670166</t>
  </si>
  <si>
    <t>rendezvénynek, és itt említeném elsősorban a</t>
  </si>
  <si>
    <t>kertbarát</t>
  </si>
  <si>
    <t>körnek a kiállítását. Ugyanis a kertbarát</t>
  </si>
  <si>
    <t>#908771483</t>
  </si>
  <si>
    <t>falban elrejtve. Nagyjából így néz ki az első</t>
  </si>
  <si>
    <t>meghallgatószoba, egyelőre csak az V. kerületi</t>
  </si>
  <si>
    <t>#908771682</t>
  </si>
  <si>
    <t>, hogy ne csak a meghallgatószoba legyen</t>
  </si>
  <si>
    <t>, hanem az egész eljárás is? Mint mondta</t>
  </si>
  <si>
    <t>#910633900</t>
  </si>
  <si>
    <t>Helmuth Bremske úr a hannoveri nemzetközi</t>
  </si>
  <si>
    <t>ikonbarát</t>
  </si>
  <si>
    <t>klubnak a főtitkára, főszervezője és meghívott</t>
  </si>
  <si>
    <t>#919277569</t>
  </si>
  <si>
    <t>támogatni, amely technológiák, amely autók</t>
  </si>
  <si>
    <t>környezetbarátok</t>
  </si>
  <si>
    <t>. És azokat a fogyasztókat fogják, és ez</t>
  </si>
  <si>
    <t>#919558072</t>
  </si>
  <si>
    <t>legjobban meggyőzni, tehát, hogyha neki megéri</t>
  </si>
  <si>
    <t>technológiákat, módszereket, eszközöket</t>
  </si>
  <si>
    <t>#921696672</t>
  </si>
  <si>
    <t>megismerhetik az unió új vezetőit, a lényeg:</t>
  </si>
  <si>
    <t>, liberális szereplők kapták a legfontosabb</t>
  </si>
  <si>
    <t>#922763524</t>
  </si>
  <si>
    <t>egyszer kérdezem, mond egy példát? Döntésekre,</t>
  </si>
  <si>
    <r>
      <t>önkormányzati döntésekre.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Antal Z.</t>
    </r>
  </si>
  <si>
    <t>#925517596</t>
  </si>
  <si>
    <t>Atkins-féle, a zóna, a déli tengerparti, a</t>
  </si>
  <si>
    <r>
      <t>meg a vércsoportdiéta. </t>
    </r>
    <r>
      <rPr>
        <i/>
        <sz val="7"/>
        <color rgb="FF008000"/>
        <rFont val="Trebuchet MS"/>
        <family val="2"/>
        <charset val="238"/>
      </rPr>
      <t>&lt;/p&gt;&lt;p&gt; </t>
    </r>
    <r>
      <rPr>
        <sz val="7"/>
        <color rgb="FF000000"/>
        <rFont val="Trebuchet MS"/>
        <family val="2"/>
        <charset val="238"/>
      </rPr>
      <t>Mv.: - Csak</t>
    </r>
  </si>
  <si>
    <t>#932182459</t>
  </si>
  <si>
    <t>annál is inkább, mert az én férjem ő nagyon</t>
  </si>
  <si>
    <t>, ő nagyon szeret pecázni járni, szeretné</t>
  </si>
  <si>
    <t>#934999768</t>
  </si>
  <si>
    <t>Többféle panasz érkezik hozzánk, vannak olyan</t>
  </si>
  <si>
    <t>nézelődők, akiket zavar az, hogy például</t>
  </si>
  <si>
    <t>#936307904</t>
  </si>
  <si>
    <t>segítheti a SOVA program melytalajkímélő és</t>
  </si>
  <si>
    <t>földművelési rendszerek kutatását és kipróbálását</t>
  </si>
  <si>
    <t>#939657732</t>
  </si>
  <si>
    <t>kormány az autóbusszal szemben az utasokat</t>
  </si>
  <si>
    <t>, vasúti közlekedésre buzdítsa. Fontos az</t>
  </si>
  <si>
    <t>#940096268</t>
  </si>
  <si>
    <t>központok is, amelyek közül számos külön</t>
  </si>
  <si>
    <t>, családbarát programokkal várta az érdeklődőket</t>
  </si>
  <si>
    <t>#952900895</t>
  </si>
  <si>
    <t>és közhelygyűjtemény. Vagy még rosszabb,</t>
  </si>
  <si>
    <t>bűnözőbarát</t>
  </si>
  <si>
    <t>hozzáállást szorgalmazó kontraproduktív</t>
  </si>
  <si>
    <t>#955535177</t>
  </si>
  <si>
    <t>kozmetikázva? Hiába szobatiszta, gyerek szerető,</t>
  </si>
  <si>
    <t>kutyabarát</t>
  </si>
  <si>
    <t>? Hiába teszi ki szívét, lelkét, kicsi rózsaszín</t>
  </si>
  <si>
    <t>#957428237</t>
  </si>
  <si>
    <t>megmutatja nagyon igényesen és kizárólag</t>
  </si>
  <si>
    <t>és egyedi bútorokkal és tárgyakkal berendezett</t>
  </si>
  <si>
    <t>#964747449</t>
  </si>
  <si>
    <t>adományozás. Az 58 esztendős Simon, aki</t>
  </si>
  <si>
    <t>állatbarátként</t>
  </si>
  <si>
    <t>korábban is bőkezűen támogatta az állatvédő</t>
  </si>
  <si>
    <t>#971346461</t>
  </si>
  <si>
    <r>
      <t>Győr-Moson-Sopron Megyei Egyesülete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Lehet pályázni a</t>
    </r>
  </si>
  <si>
    <t>Fogyatékosságbarát</t>
  </si>
  <si>
    <t>Munkahely címre 2013. szeptember 15-ig</t>
  </si>
  <si>
    <t>#972467059</t>
  </si>
  <si>
    <t>2013-07-29 dr. Kind IDC Hozzászólások (23)</t>
  </si>
  <si>
    <t>Nyomtatóbarát</t>
  </si>
  <si>
    <r>
      <t>verzió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Galaxy blog: Megérkeztek a második</t>
    </r>
  </si>
  <si>
    <t>#973958991</t>
  </si>
  <si>
    <t>nézzük, akkor a faluban ÖSSZESEN SINCS ANNYI</t>
  </si>
  <si>
    <t>TÁBORBARÁT</t>
  </si>
  <si>
    <t>, mint ahányat Ön állítólag talált. " egy</t>
  </si>
  <si>
    <t>#974708935</t>
  </si>
  <si>
    <t>(de legalábbis csökkentené) az éhezést,</t>
  </si>
  <si>
    <t>üzemanyagforrás, kiváló alapanyaga lenne</t>
  </si>
  <si>
    <t>#975810342</t>
  </si>
  <si>
    <t>valamint sok-sok miskolci - köztük MVK dolgozók</t>
  </si>
  <si>
    <t>közlekedésbarátok</t>
  </si>
  <si>
    <t>és egyszerű érdeklődők - körében fogadott</t>
  </si>
  <si>
    <t>#978335502</t>
  </si>
  <si>
    <r>
      <t>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2013-07-29 janos1988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Lefedettség.</t>
    </r>
  </si>
  <si>
    <r>
      <t>fűnyíró. [Szerkesztve]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2013-07-29 Kiki18</t>
    </r>
  </si>
  <si>
    <t>#980757690</t>
  </si>
  <si>
    <t>az MLSZ divatos kifejezésével élve, egy "</t>
  </si>
  <si>
    <t>" stadiont képzeltem el. Jól indult a mérkőzés</t>
  </si>
  <si>
    <t>#981245252</t>
  </si>
  <si>
    <t>fontos számukra, hogy a gyönyörű stadionjuk "</t>
  </si>
  <si>
    <t>" legyen és megmaradjon a kemény munkával</t>
  </si>
  <si>
    <t>#1029537358</t>
  </si>
  <si>
    <t>Downtown Rollin: bárki nevezhet a szombati</t>
  </si>
  <si>
    <t>aszfaltbarát</t>
  </si>
  <si>
    <t>deszkaversenyre Streetdeszka, longboard</t>
  </si>
  <si>
    <t>#1033935165</t>
  </si>
  <si>
    <t>áttekinthető oldalstruktúra, optimalizált,</t>
  </si>
  <si>
    <t>menürendszer, egyszerűsített navigáció</t>
  </si>
  <si>
    <t>#1036308022</t>
  </si>
  <si>
    <t>MIÉRT teszi? Ti azt mondjátok, önzetlen</t>
  </si>
  <si>
    <t>, altruista. Én azt, hogy Soros egy elitista</t>
  </si>
  <si>
    <t>#1037622757</t>
  </si>
  <si>
    <r>
      <t>is.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2013-08-23 Bog Hozzászólások (7)</t>
    </r>
  </si>
  <si>
    <r>
      <t>verzió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IFA blog: Berlinből tudósítunk</t>
    </r>
  </si>
  <si>
    <t>#1039017793</t>
  </si>
  <si>
    <t>Blacksheepben azt szeretem, hogy az összes</t>
  </si>
  <si>
    <t>Filmbarátok</t>
  </si>
  <si>
    <t>résztvevő közül, ő az egyetlen akit rá</t>
  </si>
  <si>
    <t>#1039288170</t>
  </si>
  <si>
    <t>"), akkor majd az ellenzéki megteszi ("</t>
  </si>
  <si>
    <t>nácibarát</t>
  </si>
  <si>
    <t>csőcselék! "). Magyarországon két lehetőséged</t>
  </si>
  <si>
    <t>#1051015991</t>
  </si>
  <si>
    <t>tudományos paradigmák megváltoztatásában,</t>
  </si>
  <si>
    <t>technológiák kifejlesztésében és az oktatás</t>
  </si>
  <si>
    <t>#1056064741</t>
  </si>
  <si>
    <t>jó reklámot ezek után nem kapnak. Jó kis</t>
  </si>
  <si>
    <t>hozzáállásuk van Önöknek! Gratulálok! És</t>
  </si>
  <si>
    <t>#1063636811</t>
  </si>
  <si>
    <t>#1074180406</t>
  </si>
  <si>
    <t>kínál Neked a kozmetikai ipar? Nézzük a</t>
  </si>
  <si>
    <t>és szervezetet kímélő tenzideket: Lauryl</t>
  </si>
  <si>
    <t>#1075067519</t>
  </si>
  <si>
    <t>T-mobil, mozaik XS) be akarom kapcsolni a</t>
  </si>
  <si>
    <t>kedvezményt, akkor az hozzá adódik a havi</t>
  </si>
  <si>
    <t>#1075067563</t>
  </si>
  <si>
    <r>
      <t>fizetned kell.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2013-09-23 Gém Csaba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" A</t>
    </r>
  </si>
  <si>
    <t>kedvezménnyel bármely, a kedvezménybe bevont</t>
  </si>
  <si>
    <t>#1076241981</t>
  </si>
  <si>
    <t>bemutatók lettek. A közeljövőben Sorter fog -e a</t>
  </si>
  <si>
    <t>Filmbarátokban</t>
  </si>
  <si>
    <t>szerepelni? Ha tervezed, hogy lesz néhány</t>
  </si>
  <si>
    <t>#1083808608</t>
  </si>
  <si>
    <t>#1086041247</t>
  </si>
  <si>
    <t>#1086384284</t>
  </si>
  <si>
    <t>szereplő díjcsomagok valamelyikét rendelték. A</t>
  </si>
  <si>
    <t>kedvezmény a Domino Net termékhez nem igényelhető</t>
  </si>
  <si>
    <t>#1086485417</t>
  </si>
  <si>
    <t>, aztán meg az elesett emberekért aggódó</t>
  </si>
  <si>
    <t>. Ilyen nincs, mondd hogy csak viccöltél</t>
  </si>
  <si>
    <t>#1088143523</t>
  </si>
  <si>
    <t>#1088525628</t>
  </si>
  <si>
    <r>
      <t>2013-09-23 Telekom HU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Kedves Zoltán! A</t>
    </r>
  </si>
  <si>
    <t>szolgáltatás bruttó 1066,8 Ft-os hívószámonkénti</t>
  </si>
  <si>
    <t>#1094582195</t>
  </si>
  <si>
    <t>értelemben vett, konzervatív-liberális,</t>
  </si>
  <si>
    <t>szemléletet követő politikai erő. Fodor</t>
  </si>
  <si>
    <t>#1098145935</t>
  </si>
  <si>
    <t>#1099892728</t>
  </si>
  <si>
    <r>
      <t>2013-09-26 Telekom HU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Kedves Zoltán! A</t>
    </r>
  </si>
  <si>
    <t>#1100908375</t>
  </si>
  <si>
    <t>#1104060258</t>
  </si>
  <si>
    <t>akadályverseny és még sok más érdekes és</t>
  </si>
  <si>
    <t>program várta az érdeklődőket az Europark</t>
  </si>
  <si>
    <t>#1110555525</t>
  </si>
  <si>
    <t>százalékkal magasabb pedagógusok, illetve</t>
  </si>
  <si>
    <t>huligánbarát</t>
  </si>
  <si>
    <t>stadionok építése is, sőt, a gyűlésen közös</t>
  </si>
  <si>
    <t>#1116529715</t>
  </si>
  <si>
    <t>területen állnak. " Nemcsak gazdaságosabb, de</t>
  </si>
  <si>
    <t>is ez a megoldás " - magyarázza Ulli Sima</t>
  </si>
  <si>
    <t>#1127276544</t>
  </si>
  <si>
    <t>percet és ossza meg velünk véleményét a</t>
  </si>
  <si>
    <r>
      <t>...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2013-10-20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Felvonulás indult a</t>
    </r>
  </si>
  <si>
    <t>#1137388927</t>
  </si>
  <si>
    <r>
      <t>kommentek: 19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2013-10-30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Radeon R7 sorozat:</t>
    </r>
  </si>
  <si>
    <t>Pénztárcabarát</t>
  </si>
  <si>
    <t>harcosok Az R7-es sorozat tagjai a belépőszintet</t>
  </si>
  <si>
    <t>#1137665025</t>
  </si>
  <si>
    <r>
      <t>&lt;p/&gt; </t>
    </r>
    <r>
      <rPr>
        <sz val="7"/>
        <color rgb="FF000000"/>
        <rFont val="Trebuchet MS"/>
        <family val="2"/>
        <charset val="238"/>
      </rPr>
      <t>2013-10-30 Abu85 Hozzászólások (100)</t>
    </r>
  </si>
  <si>
    <r>
      <t>verzió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Windows blog: a Battlefield 4</t>
    </r>
  </si>
  <si>
    <t>#1137692421</t>
  </si>
  <si>
    <t>Vistaboy Gameinformer Hozzászólások (12)</t>
  </si>
  <si>
    <r>
      <t>verzió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AC IV: Black Flag - Online Pass</t>
    </r>
  </si>
  <si>
    <t>#1138655049</t>
  </si>
  <si>
    <t>szörvájvör módban. A boltrendszer átlátható és</t>
  </si>
  <si>
    <t>, a bónusz rendszer ötletes és szórakoztató</t>
  </si>
  <si>
    <t>#1138812833</t>
  </si>
  <si>
    <t>, hogy jár arrafele vonat is, az nem jó?</t>
  </si>
  <si>
    <t>Környezetbarátabb</t>
  </si>
  <si>
    <r>
      <t>megoldás mint a busz.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2013-10-30 BKK</t>
    </r>
  </si>
  <si>
    <t>#1138931052</t>
  </si>
  <si>
    <r>
      <t>Mórocz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Hol van már az ŐRZÜNK és VÉDÜNK</t>
    </r>
  </si>
  <si>
    <t>RENDŐRSÉGÜNK!! Mert az rendben van, hogy</t>
  </si>
  <si>
    <t>#1146308736</t>
  </si>
  <si>
    <t>érez minden hegylakó, hegyjáró sportoló,</t>
  </si>
  <si>
    <t>. Éppen itt volt már az ideje, hogy történjen</t>
  </si>
  <si>
    <t>#1149240422</t>
  </si>
  <si>
    <t>2013-10-30 orichalcos Kotaku Hozzászólások (19)</t>
  </si>
  <si>
    <r>
      <t>verzió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Command &amp;amp; Conquer - Lelőtték</t>
    </r>
  </si>
  <si>
    <t>#1152221193</t>
  </si>
  <si>
    <t>(időtartam, használat módja, tisztítás).</t>
  </si>
  <si>
    <t>konyhai ötletek, praktikák Hogyan csökkenthetők</t>
  </si>
  <si>
    <t>#1154259864</t>
  </si>
  <si>
    <t>tervezgették a tovább vitelét. És mivel</t>
  </si>
  <si>
    <t>, troli közlekedés még az EU is támogatná</t>
  </si>
  <si>
    <t>#1155309756</t>
  </si>
  <si>
    <t>kérjük! Kérheted egyik üzletünkben is a</t>
  </si>
  <si>
    <r>
      <t>szolgáltatás beállítását.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2013-11-10</t>
    </r>
  </si>
  <si>
    <t>#1165873928</t>
  </si>
  <si>
    <r>
      <t>2013-11-10 rozsabimbo13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RT@ tzfld: Eladó.</t>
    </r>
  </si>
  <si>
    <r>
      <t>szobatárs.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2013-11-10 01Dracken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ELADÓ</t>
    </r>
  </si>
  <si>
    <t>#1166683425</t>
  </si>
  <si>
    <t>#1167309096</t>
  </si>
  <si>
    <t>#1176680244</t>
  </si>
  <si>
    <t>Hamilton és Vettel előtt AUTÓ-MOTOR 14:29 -</t>
  </si>
  <si>
    <t>Nácibarát</t>
  </si>
  <si>
    <t>viselkedésért tilthatják el a vb-re jutó</t>
  </si>
  <si>
    <t>#1197573169</t>
  </si>
  <si>
    <r>
      <t>szövetségi kapitányt illette.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2013-11-23 </t>
    </r>
    <r>
      <rPr>
        <i/>
        <sz val="7"/>
        <color rgb="FF008000"/>
        <rFont val="Trebuchet MS"/>
        <family val="2"/>
        <charset val="238"/>
      </rPr>
      <t>&lt;p&gt;</t>
    </r>
  </si>
  <si>
    <t>#1201172491</t>
  </si>
  <si>
    <t>népbarát terveit - mert a náci mocskos, és</t>
  </si>
  <si>
    <t>népbarátnak</t>
  </si>
  <si>
    <r>
      <t>tűnő...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2013-11-23 NDS Design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A sakál</t>
    </r>
  </si>
  <si>
    <t>#1201182944</t>
  </si>
  <si>
    <t>#1206903597</t>
  </si>
  <si>
    <t>filmet. Vele párhuzamosan készül a Super8.hu</t>
  </si>
  <si>
    <t>weblapja, mely decemberben már egy beta</t>
  </si>
  <si>
    <t>#1213308771</t>
  </si>
  <si>
    <t>alaplapokhoz az egyes alaplapgyártók nem túl</t>
  </si>
  <si>
    <t>gyakorlata miatt nem használható a gyárilag</t>
  </si>
  <si>
    <t>#1215564601</t>
  </si>
  <si>
    <t>elnöke, a Fészek Művészklub alelnöke, az</t>
  </si>
  <si>
    <t>Operabarátok</t>
  </si>
  <si>
    <t>kuratóriumi elnöke, a Magyar Zenei Kamara</t>
  </si>
  <si>
    <t>#1217661203</t>
  </si>
  <si>
    <r>
      <t>kategória győztese lett.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2013-12-09 </t>
    </r>
    <r>
      <rPr>
        <i/>
        <sz val="7"/>
        <color rgb="FF008000"/>
        <rFont val="Trebuchet MS"/>
        <family val="2"/>
        <charset val="238"/>
      </rPr>
      <t>&lt;p&gt;</t>
    </r>
  </si>
  <si>
    <t>Agria Park: gyermekmegőrzőt nyitottak eger</t>
  </si>
  <si>
    <t>#1222247051</t>
  </si>
  <si>
    <t>kérésem lenne hozzátok. Egy jóbarátom a</t>
  </si>
  <si>
    <t>ruhaipari termékekről írja a szakdolgozatát</t>
  </si>
  <si>
    <t>#1223382175</t>
  </si>
  <si>
    <t>Tata Tata város önkormányzata elnyerte a</t>
  </si>
  <si>
    <t>Tehetségbarát</t>
  </si>
  <si>
    <t>helyi önkormányzat díját, melyet dr. Hoffmann</t>
  </si>
  <si>
    <t>#1235091300</t>
  </si>
  <si>
    <t>erősödéséből cégünk profitáljon, hozzunk létre</t>
  </si>
  <si>
    <r>
      <t>weboldalt. </t>
    </r>
    <r>
      <rPr>
        <i/>
        <sz val="7"/>
        <color rgb="FF008000"/>
        <rFont val="Trebuchet MS"/>
        <family val="2"/>
        <charset val="238"/>
      </rPr>
      <t>&lt;/p&gt; </t>
    </r>
    <r>
      <rPr>
        <sz val="7"/>
        <color rgb="FF000000"/>
        <rFont val="Trebuchet MS"/>
        <family val="2"/>
        <charset val="238"/>
      </rPr>
      <t>2013-12-29 </t>
    </r>
    <r>
      <rPr>
        <i/>
        <sz val="7"/>
        <color rgb="FF008000"/>
        <rFont val="Trebuchet MS"/>
        <family val="2"/>
        <charset val="238"/>
      </rPr>
      <t>&lt;p&gt; </t>
    </r>
    <r>
      <rPr>
        <sz val="7"/>
        <color rgb="FF000000"/>
        <rFont val="Trebuchet MS"/>
        <family val="2"/>
        <charset val="238"/>
      </rPr>
      <t>Jogszabály Nem</t>
    </r>
  </si>
  <si>
    <t>#1236241257</t>
  </si>
  <si>
    <t>másképpen nem fogtok mosni. No és természetesen</t>
  </si>
  <si>
    <t>. Egyébként a háztartásban még egy csomó</t>
  </si>
  <si>
    <t>#1245929215</t>
  </si>
  <si>
    <t>család botránya című írásával indult a 2013</t>
  </si>
  <si>
    <t>újságírója címért, amelyen a közönség is</t>
  </si>
  <si>
    <t>#1250479708</t>
  </si>
  <si>
    <t>lehet elmondani. Ja, és még valami: ha már a</t>
  </si>
  <si>
    <t>motorról van szó, a legtöbb Ikarus kevesebb</t>
  </si>
  <si>
    <t>human</t>
  </si>
  <si>
    <t>institution-like social structures</t>
  </si>
  <si>
    <t>other abstract 2</t>
  </si>
  <si>
    <t>artefact</t>
  </si>
  <si>
    <t>process</t>
  </si>
  <si>
    <t>event</t>
  </si>
  <si>
    <t>other abstract 1</t>
  </si>
  <si>
    <t>natural o/p</t>
  </si>
  <si>
    <t>cultural o/p</t>
  </si>
  <si>
    <t>location</t>
  </si>
  <si>
    <t>[főnév]</t>
  </si>
  <si>
    <t>animal</t>
  </si>
  <si>
    <t>human:</t>
  </si>
  <si>
    <t>animal:</t>
  </si>
  <si>
    <t>natural o/p:</t>
  </si>
  <si>
    <t>artefact:</t>
  </si>
  <si>
    <t>cultural o/p:</t>
  </si>
  <si>
    <t>institution-like social structures:</t>
  </si>
  <si>
    <t>event:</t>
  </si>
  <si>
    <t>other abstract 1:</t>
  </si>
  <si>
    <t>other abstract 2:</t>
  </si>
  <si>
    <t>state:</t>
  </si>
  <si>
    <t>process:</t>
  </si>
  <si>
    <t>location:</t>
  </si>
  <si>
    <t>ability:</t>
  </si>
  <si>
    <t>schematic entities:</t>
  </si>
  <si>
    <t>[főnév]:</t>
  </si>
  <si>
    <t>rossz</t>
  </si>
  <si>
    <t>jó:</t>
  </si>
  <si>
    <t>rossz:</t>
  </si>
  <si>
    <t>azonosító</t>
  </si>
  <si>
    <t>szövegkörnyezet</t>
  </si>
  <si>
    <t>adat</t>
  </si>
  <si>
    <t>bővített ontológiai kategorizáció</t>
  </si>
  <si>
    <t>kritérium</t>
  </si>
  <si>
    <t>darabszám</t>
  </si>
  <si>
    <t>arány</t>
  </si>
  <si>
    <t>megfelelőség</t>
  </si>
  <si>
    <r>
      <t>Az MNSZ N.</t>
    </r>
    <r>
      <rPr>
        <i/>
        <sz val="18"/>
        <color theme="1"/>
        <rFont val="Aptos Narrow"/>
        <family val="2"/>
        <scheme val="minor"/>
      </rPr>
      <t xml:space="preserve">barát </t>
    </r>
    <r>
      <rPr>
        <sz val="18"/>
        <color theme="1"/>
        <rFont val="Aptos Narrow"/>
        <family val="2"/>
        <scheme val="minor"/>
      </rPr>
      <t>adatainak kapcsolódási mintázatai (14. számú melléklet)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</si>
</sst>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Aptos Narrow"/>
      <family val="2"/>
      <charset val="238"/>
      <scheme val="minor"/>
    </font>
    <font>
      <b/>
      <sz val="7"/>
      <color rgb="FF0000FF"/>
      <name val="Trebuchet MS"/>
      <family val="2"/>
      <charset val="238"/>
    </font>
    <font>
      <sz val="7"/>
      <color rgb="FF000000"/>
      <name val="Trebuchet MS"/>
      <family val="2"/>
      <charset val="238"/>
    </font>
    <font>
      <b/>
      <sz val="7"/>
      <color rgb="FFFF0000"/>
      <name val="Trebuchet MS"/>
      <family val="2"/>
      <charset val="238"/>
    </font>
    <font>
      <i/>
      <sz val="7"/>
      <color rgb="FF008000"/>
      <name val="Trebuchet MS"/>
      <family val="2"/>
      <charset val="238"/>
    </font>
    <font>
      <sz val="8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1"/>
      <name val="Aptos Narrow"/>
      <family val="2"/>
      <scheme val="minor"/>
    </font>
    <font>
      <i/>
      <sz val="18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11">
    <xf numFmtId="0" fontId="0" fillId="0" borderId="0" xfId="0"/>
    <xf numFmtId="0" fontId="7" fillId="0" borderId="1" xfId="0" applyFont="1" applyBorder="1" applyAlignment="1">
      <alignment vertical="center"/>
    </xf>
    <xf numFmtId="0" fontId="0" fillId="0" borderId="1" xfId="0" applyBorder="1"/>
    <xf numFmtId="0" fontId="7" fillId="0" borderId="1" xfId="0" applyFont="1" applyBorder="1"/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164" fontId="0" fillId="0" borderId="1" xfId="1" applyNumberFormat="1" applyFont="1" applyBorder="1"/>
    <xf numFmtId="0" fontId="4" fillId="2" borderId="1" xfId="0" applyFont="1" applyFill="1" applyBorder="1" applyAlignment="1">
      <alignment horizontal="right" vertical="center"/>
    </xf>
  </cellXfs>
  <cellStyles count="2">
    <cellStyle name="Normál" xfId="0" builtinId="0"/>
    <cellStyle name="Százalék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0B015-F997-4316-9032-D68D49FEF4D5}">
  <sheetPr>
    <pageSetUpPr fitToPage="1"/>
  </sheetPr>
  <dimension ref="A1:J253"/>
  <sheetViews>
    <sheetView tabSelected="1" zoomScaleNormal="100" workbookViewId="0">
      <selection activeCell="D7" sqref="D7"/>
    </sheetView>
  </sheetViews>
  <sheetFormatPr defaultRowHeight="14.4" x14ac:dyDescent="0.3"/>
  <cols>
    <col min="1" max="1" width="8.5546875" style="2" bestFit="1" customWidth="1"/>
    <col min="2" max="2" width="33.109375" style="2" bestFit="1" customWidth="1"/>
    <col min="3" max="3" width="14.88671875" style="2" bestFit="1" customWidth="1"/>
    <col min="4" max="4" width="42.44140625" style="2" bestFit="1" customWidth="1"/>
    <col min="5" max="5" width="27.88671875" style="2" bestFit="1" customWidth="1"/>
    <col min="6" max="6" width="12" style="2" customWidth="1"/>
    <col min="7" max="7" width="8.88671875" style="2"/>
    <col min="8" max="8" width="27" style="2" bestFit="1" customWidth="1"/>
    <col min="9" max="9" width="10.21875" style="2" customWidth="1"/>
    <col min="10" max="16384" width="8.88671875" style="2"/>
  </cols>
  <sheetData>
    <row r="1" spans="1:10" ht="33.6" customHeight="1" x14ac:dyDescent="0.3">
      <c r="A1" s="1" t="s">
        <v>867</v>
      </c>
    </row>
    <row r="2" spans="1:10" ht="14.4" customHeight="1" x14ac:dyDescent="0.45">
      <c r="A2" s="3"/>
    </row>
    <row r="3" spans="1:10" s="4" customFormat="1" ht="28.8" customHeight="1" x14ac:dyDescent="0.3">
      <c r="A3" s="4" t="s">
        <v>859</v>
      </c>
      <c r="B3" s="4" t="s">
        <v>860</v>
      </c>
      <c r="C3" s="4" t="s">
        <v>861</v>
      </c>
      <c r="D3" s="4" t="s">
        <v>860</v>
      </c>
      <c r="E3" s="4" t="s">
        <v>862</v>
      </c>
      <c r="F3" s="4" t="s">
        <v>866</v>
      </c>
      <c r="H3" s="4" t="s">
        <v>863</v>
      </c>
      <c r="I3" s="4" t="s">
        <v>864</v>
      </c>
      <c r="J3" s="4" t="s">
        <v>865</v>
      </c>
    </row>
    <row r="4" spans="1:10" x14ac:dyDescent="0.3">
      <c r="A4" s="5" t="s">
        <v>0</v>
      </c>
      <c r="B4" s="6" t="s">
        <v>1</v>
      </c>
      <c r="C4" s="7" t="s">
        <v>2</v>
      </c>
      <c r="D4" s="8" t="s">
        <v>3</v>
      </c>
      <c r="E4" s="2" t="s">
        <v>839</v>
      </c>
    </row>
    <row r="5" spans="1:10" x14ac:dyDescent="0.3">
      <c r="A5" s="5" t="s">
        <v>4</v>
      </c>
      <c r="B5" s="6" t="s">
        <v>5</v>
      </c>
      <c r="C5" s="7" t="s">
        <v>6</v>
      </c>
      <c r="D5" s="8" t="s">
        <v>7</v>
      </c>
      <c r="E5" s="2" t="s">
        <v>839</v>
      </c>
      <c r="H5" s="2" t="s">
        <v>857</v>
      </c>
      <c r="I5" s="2">
        <f>COUNTBLANK(F4:F253)</f>
        <v>249</v>
      </c>
    </row>
    <row r="6" spans="1:10" x14ac:dyDescent="0.3">
      <c r="A6" s="5" t="s">
        <v>8</v>
      </c>
      <c r="B6" s="6" t="s">
        <v>9</v>
      </c>
      <c r="C6" s="7" t="s">
        <v>10</v>
      </c>
      <c r="D6" s="8" t="s">
        <v>11</v>
      </c>
      <c r="E6" s="2" t="s">
        <v>830</v>
      </c>
      <c r="H6" s="2" t="s">
        <v>858</v>
      </c>
      <c r="I6" s="2">
        <f>COUNTA(F4:F253)</f>
        <v>1</v>
      </c>
    </row>
    <row r="7" spans="1:10" x14ac:dyDescent="0.3">
      <c r="A7" s="5" t="s">
        <v>12</v>
      </c>
      <c r="B7" s="6" t="s">
        <v>13</v>
      </c>
      <c r="C7" s="7" t="s">
        <v>14</v>
      </c>
      <c r="D7" s="8" t="s">
        <v>15</v>
      </c>
      <c r="E7" s="2" t="s">
        <v>830</v>
      </c>
    </row>
    <row r="8" spans="1:10" x14ac:dyDescent="0.3">
      <c r="A8" s="5" t="s">
        <v>16</v>
      </c>
      <c r="B8" s="6" t="s">
        <v>17</v>
      </c>
      <c r="C8" s="7" t="s">
        <v>18</v>
      </c>
      <c r="D8" s="8" t="s">
        <v>19</v>
      </c>
      <c r="E8" s="2" t="s">
        <v>830</v>
      </c>
    </row>
    <row r="9" spans="1:10" x14ac:dyDescent="0.3">
      <c r="A9" s="5" t="s">
        <v>20</v>
      </c>
      <c r="B9" s="6" t="s">
        <v>21</v>
      </c>
      <c r="C9" s="7" t="s">
        <v>22</v>
      </c>
      <c r="D9" s="8" t="s">
        <v>23</v>
      </c>
      <c r="E9" s="2" t="s">
        <v>830</v>
      </c>
    </row>
    <row r="10" spans="1:10" x14ac:dyDescent="0.3">
      <c r="A10" s="5" t="s">
        <v>24</v>
      </c>
      <c r="B10" s="6" t="s">
        <v>25</v>
      </c>
      <c r="C10" s="7" t="s">
        <v>26</v>
      </c>
      <c r="D10" s="8" t="s">
        <v>27</v>
      </c>
      <c r="E10" s="2" t="s">
        <v>831</v>
      </c>
    </row>
    <row r="11" spans="1:10" x14ac:dyDescent="0.3">
      <c r="A11" s="5" t="s">
        <v>28</v>
      </c>
      <c r="B11" s="6" t="s">
        <v>29</v>
      </c>
      <c r="C11" s="7" t="s">
        <v>30</v>
      </c>
      <c r="D11" s="8" t="s">
        <v>31</v>
      </c>
      <c r="E11" s="2" t="s">
        <v>832</v>
      </c>
      <c r="H11" s="2" t="s">
        <v>841</v>
      </c>
      <c r="I11" s="2">
        <f>COUNTIF(E:E,"human")</f>
        <v>16</v>
      </c>
      <c r="J11" s="9">
        <f>I11/I5</f>
        <v>6.4257028112449793E-2</v>
      </c>
    </row>
    <row r="12" spans="1:10" x14ac:dyDescent="0.3">
      <c r="A12" s="5" t="s">
        <v>32</v>
      </c>
      <c r="B12" s="6" t="s">
        <v>33</v>
      </c>
      <c r="C12" s="7" t="s">
        <v>34</v>
      </c>
      <c r="D12" s="8" t="s">
        <v>35</v>
      </c>
      <c r="E12" s="2" t="s">
        <v>831</v>
      </c>
      <c r="H12" s="2" t="s">
        <v>842</v>
      </c>
      <c r="I12" s="2">
        <f>COUNTIF(E:E,"animal")</f>
        <v>1</v>
      </c>
      <c r="J12" s="9">
        <f>I12/I5</f>
        <v>4.0160642570281121E-3</v>
      </c>
    </row>
    <row r="13" spans="1:10" x14ac:dyDescent="0.3">
      <c r="A13" s="5" t="s">
        <v>36</v>
      </c>
      <c r="B13" s="6" t="s">
        <v>37</v>
      </c>
      <c r="C13" s="7" t="s">
        <v>38</v>
      </c>
      <c r="D13" s="8" t="s">
        <v>39</v>
      </c>
      <c r="E13" s="2" t="s">
        <v>831</v>
      </c>
      <c r="H13" s="2" t="s">
        <v>843</v>
      </c>
      <c r="I13" s="2">
        <f>COUNTIF(E:E,"natural o/p")</f>
        <v>4</v>
      </c>
      <c r="J13" s="9">
        <f>I13/I5</f>
        <v>1.6064257028112448E-2</v>
      </c>
    </row>
    <row r="14" spans="1:10" x14ac:dyDescent="0.3">
      <c r="A14" s="5" t="s">
        <v>40</v>
      </c>
      <c r="B14" s="6" t="s">
        <v>41</v>
      </c>
      <c r="C14" s="7" t="s">
        <v>42</v>
      </c>
      <c r="D14" s="8" t="s">
        <v>43</v>
      </c>
      <c r="E14" s="2" t="s">
        <v>831</v>
      </c>
      <c r="H14" s="2" t="s">
        <v>844</v>
      </c>
      <c r="I14" s="2">
        <f>COUNTIF(E:E,"artefact")</f>
        <v>33</v>
      </c>
      <c r="J14" s="9">
        <f>I14/I5</f>
        <v>0.13253012048192772</v>
      </c>
    </row>
    <row r="15" spans="1:10" x14ac:dyDescent="0.3">
      <c r="A15" s="5" t="s">
        <v>44</v>
      </c>
      <c r="B15" s="6" t="s">
        <v>45</v>
      </c>
      <c r="C15" s="7" t="s">
        <v>46</v>
      </c>
      <c r="D15" s="8" t="s">
        <v>47</v>
      </c>
      <c r="E15" s="2" t="s">
        <v>829</v>
      </c>
      <c r="H15" s="2" t="s">
        <v>845</v>
      </c>
      <c r="I15" s="2">
        <f>COUNTIF(E:E,"cultural o/p")</f>
        <v>41</v>
      </c>
      <c r="J15" s="9">
        <f>I15/I5</f>
        <v>0.1646586345381526</v>
      </c>
    </row>
    <row r="16" spans="1:10" x14ac:dyDescent="0.3">
      <c r="A16" s="5" t="s">
        <v>48</v>
      </c>
      <c r="B16" s="6" t="s">
        <v>49</v>
      </c>
      <c r="C16" s="7" t="s">
        <v>34</v>
      </c>
      <c r="D16" s="8" t="s">
        <v>50</v>
      </c>
      <c r="E16" s="2" t="s">
        <v>834</v>
      </c>
      <c r="H16" s="2" t="s">
        <v>846</v>
      </c>
      <c r="I16" s="2">
        <f>COUNTIF(E:E,"institution-like social structures")</f>
        <v>28</v>
      </c>
      <c r="J16" s="9">
        <f>I16/I5</f>
        <v>0.11244979919678715</v>
      </c>
    </row>
    <row r="17" spans="1:10" x14ac:dyDescent="0.3">
      <c r="A17" s="5" t="s">
        <v>51</v>
      </c>
      <c r="B17" s="6" t="s">
        <v>52</v>
      </c>
      <c r="C17" s="7" t="s">
        <v>53</v>
      </c>
      <c r="D17" s="8" t="s">
        <v>54</v>
      </c>
      <c r="E17" s="2" t="s">
        <v>832</v>
      </c>
      <c r="H17" s="2" t="s">
        <v>847</v>
      </c>
      <c r="I17" s="2">
        <f>COUNTIF(E:E,"event")</f>
        <v>1</v>
      </c>
      <c r="J17" s="9">
        <f>I17/I5</f>
        <v>4.0160642570281121E-3</v>
      </c>
    </row>
    <row r="18" spans="1:10" x14ac:dyDescent="0.3">
      <c r="A18" s="5" t="s">
        <v>55</v>
      </c>
      <c r="B18" s="6" t="s">
        <v>56</v>
      </c>
      <c r="C18" s="7" t="s">
        <v>2</v>
      </c>
      <c r="D18" s="8" t="s">
        <v>57</v>
      </c>
      <c r="E18" s="2" t="s">
        <v>839</v>
      </c>
      <c r="H18" s="2" t="s">
        <v>848</v>
      </c>
      <c r="I18" s="2">
        <f>COUNTIF(E:E,"other abstract 1")</f>
        <v>12</v>
      </c>
      <c r="J18" s="9">
        <f>I18/I5</f>
        <v>4.8192771084337352E-2</v>
      </c>
    </row>
    <row r="19" spans="1:10" x14ac:dyDescent="0.3">
      <c r="A19" s="5" t="s">
        <v>58</v>
      </c>
      <c r="B19" s="6" t="s">
        <v>59</v>
      </c>
      <c r="C19" s="7" t="s">
        <v>60</v>
      </c>
      <c r="D19" s="8" t="s">
        <v>61</v>
      </c>
      <c r="E19" s="2" t="s">
        <v>831</v>
      </c>
      <c r="H19" s="2" t="s">
        <v>849</v>
      </c>
      <c r="I19" s="2">
        <f>COUNTIF(E:E,"other abstract 2")</f>
        <v>50</v>
      </c>
      <c r="J19" s="9">
        <f>I19/I5</f>
        <v>0.20080321285140562</v>
      </c>
    </row>
    <row r="20" spans="1:10" x14ac:dyDescent="0.3">
      <c r="A20" s="5" t="s">
        <v>62</v>
      </c>
      <c r="B20" s="6" t="s">
        <v>63</v>
      </c>
      <c r="C20" s="7" t="s">
        <v>64</v>
      </c>
      <c r="D20" s="8" t="s">
        <v>65</v>
      </c>
      <c r="E20" s="2" t="s">
        <v>832</v>
      </c>
      <c r="H20" s="2" t="s">
        <v>850</v>
      </c>
      <c r="I20" s="2">
        <f>COUNTIF(E:E,"state")</f>
        <v>0</v>
      </c>
      <c r="J20" s="9">
        <f>I20/I5</f>
        <v>0</v>
      </c>
    </row>
    <row r="21" spans="1:10" x14ac:dyDescent="0.3">
      <c r="A21" s="5" t="s">
        <v>66</v>
      </c>
      <c r="B21" s="6" t="s">
        <v>67</v>
      </c>
      <c r="C21" s="7" t="s">
        <v>68</v>
      </c>
      <c r="D21" s="8" t="s">
        <v>69</v>
      </c>
      <c r="E21" s="2" t="s">
        <v>835</v>
      </c>
      <c r="H21" s="2" t="s">
        <v>851</v>
      </c>
      <c r="I21" s="2">
        <f>COUNTIF(E:E,"process")</f>
        <v>30</v>
      </c>
      <c r="J21" s="9">
        <f>I21/I5</f>
        <v>0.12048192771084337</v>
      </c>
    </row>
    <row r="22" spans="1:10" x14ac:dyDescent="0.3">
      <c r="A22" s="5" t="s">
        <v>70</v>
      </c>
      <c r="B22" s="6" t="s">
        <v>71</v>
      </c>
      <c r="C22" s="7" t="s">
        <v>72</v>
      </c>
      <c r="D22" s="8" t="s">
        <v>73</v>
      </c>
      <c r="E22" s="2" t="s">
        <v>835</v>
      </c>
      <c r="H22" s="2" t="s">
        <v>852</v>
      </c>
      <c r="I22" s="2">
        <f>COUNTIF(E:E,"location")</f>
        <v>14</v>
      </c>
      <c r="J22" s="9">
        <f>I22/I5</f>
        <v>5.6224899598393573E-2</v>
      </c>
    </row>
    <row r="23" spans="1:10" x14ac:dyDescent="0.3">
      <c r="A23" s="5" t="s">
        <v>74</v>
      </c>
      <c r="B23" s="6" t="s">
        <v>75</v>
      </c>
      <c r="C23" s="7" t="s">
        <v>76</v>
      </c>
      <c r="D23" s="8" t="s">
        <v>77</v>
      </c>
      <c r="E23" s="2" t="s">
        <v>829</v>
      </c>
      <c r="H23" s="2" t="s">
        <v>853</v>
      </c>
      <c r="I23" s="2">
        <f>COUNTIF(E:E,"ability")</f>
        <v>0</v>
      </c>
      <c r="J23" s="9">
        <f>I23/I5</f>
        <v>0</v>
      </c>
    </row>
    <row r="24" spans="1:10" x14ac:dyDescent="0.3">
      <c r="A24" s="5" t="s">
        <v>78</v>
      </c>
      <c r="B24" s="6" t="s">
        <v>79</v>
      </c>
      <c r="C24" s="7" t="s">
        <v>64</v>
      </c>
      <c r="D24" s="8" t="s">
        <v>80</v>
      </c>
      <c r="E24" s="2" t="s">
        <v>836</v>
      </c>
      <c r="H24" s="2" t="s">
        <v>854</v>
      </c>
      <c r="I24" s="2">
        <f>COUNTIF(E:E,"schematic entities")</f>
        <v>0</v>
      </c>
      <c r="J24" s="9">
        <f>I24/I5</f>
        <v>0</v>
      </c>
    </row>
    <row r="25" spans="1:10" x14ac:dyDescent="0.3">
      <c r="A25" s="5" t="s">
        <v>81</v>
      </c>
      <c r="B25" s="6" t="s">
        <v>82</v>
      </c>
      <c r="C25" s="7" t="s">
        <v>83</v>
      </c>
      <c r="D25" s="8" t="s">
        <v>84</v>
      </c>
      <c r="E25" s="2" t="s">
        <v>831</v>
      </c>
      <c r="J25" s="9"/>
    </row>
    <row r="26" spans="1:10" x14ac:dyDescent="0.3">
      <c r="A26" s="5" t="s">
        <v>85</v>
      </c>
      <c r="B26" s="6" t="s">
        <v>86</v>
      </c>
      <c r="C26" s="7" t="s">
        <v>64</v>
      </c>
      <c r="D26" s="8" t="s">
        <v>87</v>
      </c>
      <c r="E26" s="2" t="s">
        <v>835</v>
      </c>
      <c r="H26" s="2" t="s">
        <v>855</v>
      </c>
      <c r="I26" s="2">
        <f>COUNTIF(E:E,"[főnév]")</f>
        <v>19</v>
      </c>
      <c r="J26" s="9">
        <f>I26/I5</f>
        <v>7.6305220883534142E-2</v>
      </c>
    </row>
    <row r="27" spans="1:10" x14ac:dyDescent="0.3">
      <c r="A27" s="5" t="s">
        <v>88</v>
      </c>
      <c r="B27" s="6" t="s">
        <v>89</v>
      </c>
      <c r="C27" s="7" t="s">
        <v>68</v>
      </c>
      <c r="D27" s="8" t="s">
        <v>90</v>
      </c>
      <c r="E27" s="2" t="s">
        <v>831</v>
      </c>
    </row>
    <row r="28" spans="1:10" x14ac:dyDescent="0.3">
      <c r="A28" s="5" t="s">
        <v>91</v>
      </c>
      <c r="B28" s="6" t="s">
        <v>92</v>
      </c>
      <c r="C28" s="7" t="s">
        <v>93</v>
      </c>
      <c r="D28" s="8" t="s">
        <v>94</v>
      </c>
      <c r="E28" s="2" t="s">
        <v>831</v>
      </c>
    </row>
    <row r="29" spans="1:10" x14ac:dyDescent="0.3">
      <c r="A29" s="5" t="s">
        <v>95</v>
      </c>
      <c r="B29" s="6" t="s">
        <v>96</v>
      </c>
      <c r="C29" s="7" t="s">
        <v>22</v>
      </c>
      <c r="D29" s="8" t="s">
        <v>97</v>
      </c>
      <c r="E29" s="2" t="s">
        <v>831</v>
      </c>
    </row>
    <row r="30" spans="1:10" x14ac:dyDescent="0.3">
      <c r="A30" s="5" t="s">
        <v>98</v>
      </c>
      <c r="B30" s="6" t="s">
        <v>99</v>
      </c>
      <c r="C30" s="7" t="s">
        <v>46</v>
      </c>
      <c r="D30" s="8" t="s">
        <v>100</v>
      </c>
      <c r="E30" s="2" t="s">
        <v>830</v>
      </c>
    </row>
    <row r="31" spans="1:10" x14ac:dyDescent="0.3">
      <c r="A31" s="5" t="s">
        <v>101</v>
      </c>
      <c r="B31" s="6" t="s">
        <v>102</v>
      </c>
      <c r="C31" s="7" t="s">
        <v>64</v>
      </c>
      <c r="D31" s="8" t="s">
        <v>103</v>
      </c>
      <c r="E31" s="2" t="s">
        <v>837</v>
      </c>
    </row>
    <row r="32" spans="1:10" x14ac:dyDescent="0.3">
      <c r="A32" s="5" t="s">
        <v>104</v>
      </c>
      <c r="B32" s="6" t="s">
        <v>105</v>
      </c>
      <c r="C32" s="7" t="s">
        <v>64</v>
      </c>
      <c r="D32" s="8" t="s">
        <v>106</v>
      </c>
      <c r="E32" s="2" t="s">
        <v>833</v>
      </c>
    </row>
    <row r="33" spans="1:6" x14ac:dyDescent="0.3">
      <c r="A33" s="5" t="s">
        <v>107</v>
      </c>
      <c r="B33" s="6" t="s">
        <v>108</v>
      </c>
      <c r="C33" s="7" t="s">
        <v>109</v>
      </c>
      <c r="D33" s="8" t="s">
        <v>110</v>
      </c>
      <c r="F33" s="2" t="s">
        <v>856</v>
      </c>
    </row>
    <row r="34" spans="1:6" x14ac:dyDescent="0.3">
      <c r="A34" s="5" t="s">
        <v>111</v>
      </c>
      <c r="B34" s="6" t="s">
        <v>112</v>
      </c>
      <c r="C34" s="7" t="s">
        <v>22</v>
      </c>
      <c r="D34" s="8" t="s">
        <v>113</v>
      </c>
      <c r="E34" s="2" t="s">
        <v>830</v>
      </c>
    </row>
    <row r="35" spans="1:6" x14ac:dyDescent="0.3">
      <c r="A35" s="5" t="s">
        <v>114</v>
      </c>
      <c r="B35" s="6" t="s">
        <v>115</v>
      </c>
      <c r="C35" s="7" t="s">
        <v>116</v>
      </c>
      <c r="D35" s="8" t="s">
        <v>117</v>
      </c>
      <c r="E35" s="2" t="s">
        <v>831</v>
      </c>
    </row>
    <row r="36" spans="1:6" x14ac:dyDescent="0.3">
      <c r="A36" s="5" t="s">
        <v>118</v>
      </c>
      <c r="B36" s="6" t="s">
        <v>119</v>
      </c>
      <c r="C36" s="7" t="s">
        <v>120</v>
      </c>
      <c r="D36" s="8" t="s">
        <v>121</v>
      </c>
      <c r="E36" s="2" t="s">
        <v>831</v>
      </c>
    </row>
    <row r="37" spans="1:6" x14ac:dyDescent="0.3">
      <c r="A37" s="5" t="s">
        <v>122</v>
      </c>
      <c r="B37" s="6" t="s">
        <v>123</v>
      </c>
      <c r="C37" s="7" t="s">
        <v>120</v>
      </c>
      <c r="D37" s="8" t="s">
        <v>124</v>
      </c>
      <c r="E37" s="2" t="s">
        <v>830</v>
      </c>
    </row>
    <row r="38" spans="1:6" x14ac:dyDescent="0.3">
      <c r="A38" s="5" t="s">
        <v>125</v>
      </c>
      <c r="B38" s="6" t="s">
        <v>126</v>
      </c>
      <c r="C38" s="7" t="s">
        <v>68</v>
      </c>
      <c r="D38" s="8" t="s">
        <v>127</v>
      </c>
      <c r="E38" s="2" t="s">
        <v>831</v>
      </c>
    </row>
    <row r="39" spans="1:6" x14ac:dyDescent="0.3">
      <c r="A39" s="5" t="s">
        <v>128</v>
      </c>
      <c r="B39" s="6" t="s">
        <v>129</v>
      </c>
      <c r="C39" s="7" t="s">
        <v>130</v>
      </c>
      <c r="D39" s="8" t="s">
        <v>131</v>
      </c>
      <c r="E39" s="2" t="s">
        <v>830</v>
      </c>
    </row>
    <row r="40" spans="1:6" x14ac:dyDescent="0.3">
      <c r="A40" s="5" t="s">
        <v>132</v>
      </c>
      <c r="B40" s="6" t="s">
        <v>133</v>
      </c>
      <c r="C40" s="7" t="s">
        <v>134</v>
      </c>
      <c r="D40" s="8" t="s">
        <v>135</v>
      </c>
      <c r="E40" s="2" t="s">
        <v>833</v>
      </c>
    </row>
    <row r="41" spans="1:6" x14ac:dyDescent="0.3">
      <c r="A41" s="5" t="s">
        <v>136</v>
      </c>
      <c r="B41" s="6" t="s">
        <v>137</v>
      </c>
      <c r="C41" s="7" t="s">
        <v>138</v>
      </c>
      <c r="D41" s="8" t="s">
        <v>139</v>
      </c>
      <c r="E41" s="2" t="s">
        <v>830</v>
      </c>
    </row>
    <row r="42" spans="1:6" x14ac:dyDescent="0.3">
      <c r="A42" s="5" t="s">
        <v>140</v>
      </c>
      <c r="B42" s="6" t="s">
        <v>141</v>
      </c>
      <c r="C42" s="7" t="s">
        <v>142</v>
      </c>
      <c r="D42" s="8" t="s">
        <v>143</v>
      </c>
      <c r="E42" s="2" t="s">
        <v>830</v>
      </c>
    </row>
    <row r="43" spans="1:6" x14ac:dyDescent="0.3">
      <c r="A43" s="5" t="s">
        <v>144</v>
      </c>
      <c r="B43" s="6" t="s">
        <v>145</v>
      </c>
      <c r="C43" s="7" t="s">
        <v>138</v>
      </c>
      <c r="D43" s="8" t="s">
        <v>146</v>
      </c>
      <c r="E43" s="2" t="s">
        <v>829</v>
      </c>
    </row>
    <row r="44" spans="1:6" x14ac:dyDescent="0.3">
      <c r="A44" s="5" t="s">
        <v>147</v>
      </c>
      <c r="B44" s="6" t="s">
        <v>148</v>
      </c>
      <c r="C44" s="7" t="s">
        <v>149</v>
      </c>
      <c r="D44" s="8" t="s">
        <v>150</v>
      </c>
      <c r="E44" s="2" t="s">
        <v>829</v>
      </c>
    </row>
    <row r="45" spans="1:6" x14ac:dyDescent="0.3">
      <c r="A45" s="5" t="s">
        <v>151</v>
      </c>
      <c r="B45" s="6" t="s">
        <v>152</v>
      </c>
      <c r="C45" s="7" t="s">
        <v>64</v>
      </c>
      <c r="D45" s="8" t="s">
        <v>153</v>
      </c>
      <c r="E45" s="2" t="s">
        <v>833</v>
      </c>
    </row>
    <row r="46" spans="1:6" x14ac:dyDescent="0.3">
      <c r="A46" s="5" t="s">
        <v>154</v>
      </c>
      <c r="B46" s="6" t="s">
        <v>155</v>
      </c>
      <c r="C46" s="7" t="s">
        <v>64</v>
      </c>
      <c r="D46" s="8" t="s">
        <v>156</v>
      </c>
      <c r="E46" s="2" t="s">
        <v>831</v>
      </c>
    </row>
    <row r="47" spans="1:6" x14ac:dyDescent="0.3">
      <c r="A47" s="5" t="s">
        <v>157</v>
      </c>
      <c r="B47" s="6" t="s">
        <v>158</v>
      </c>
      <c r="C47" s="7" t="s">
        <v>130</v>
      </c>
      <c r="D47" s="8" t="s">
        <v>159</v>
      </c>
      <c r="E47" s="2" t="s">
        <v>835</v>
      </c>
    </row>
    <row r="48" spans="1:6" x14ac:dyDescent="0.3">
      <c r="A48" s="5" t="s">
        <v>160</v>
      </c>
      <c r="B48" s="6" t="s">
        <v>161</v>
      </c>
      <c r="C48" s="7" t="s">
        <v>64</v>
      </c>
      <c r="D48" s="8" t="s">
        <v>162</v>
      </c>
      <c r="E48" s="2" t="s">
        <v>835</v>
      </c>
    </row>
    <row r="49" spans="1:5" x14ac:dyDescent="0.3">
      <c r="A49" s="5" t="s">
        <v>163</v>
      </c>
      <c r="B49" s="6" t="s">
        <v>164</v>
      </c>
      <c r="C49" s="7" t="s">
        <v>165</v>
      </c>
      <c r="D49" s="8" t="s">
        <v>166</v>
      </c>
      <c r="E49" s="2" t="s">
        <v>830</v>
      </c>
    </row>
    <row r="50" spans="1:5" x14ac:dyDescent="0.3">
      <c r="A50" s="5" t="s">
        <v>167</v>
      </c>
      <c r="B50" s="6" t="s">
        <v>168</v>
      </c>
      <c r="C50" s="7" t="s">
        <v>34</v>
      </c>
      <c r="D50" s="8" t="s">
        <v>169</v>
      </c>
      <c r="E50" s="2" t="s">
        <v>830</v>
      </c>
    </row>
    <row r="51" spans="1:5" x14ac:dyDescent="0.3">
      <c r="A51" s="5" t="s">
        <v>170</v>
      </c>
      <c r="B51" s="6" t="s">
        <v>171</v>
      </c>
      <c r="C51" s="7" t="s">
        <v>172</v>
      </c>
      <c r="D51" s="8" t="s">
        <v>173</v>
      </c>
      <c r="E51" s="2" t="s">
        <v>835</v>
      </c>
    </row>
    <row r="52" spans="1:5" x14ac:dyDescent="0.3">
      <c r="A52" s="5" t="s">
        <v>174</v>
      </c>
      <c r="B52" s="6" t="s">
        <v>175</v>
      </c>
      <c r="C52" s="7" t="s">
        <v>68</v>
      </c>
      <c r="D52" s="8" t="s">
        <v>176</v>
      </c>
      <c r="E52" s="2" t="s">
        <v>833</v>
      </c>
    </row>
    <row r="53" spans="1:5" x14ac:dyDescent="0.3">
      <c r="A53" s="5" t="s">
        <v>177</v>
      </c>
      <c r="B53" s="6" t="s">
        <v>178</v>
      </c>
      <c r="C53" s="7" t="s">
        <v>179</v>
      </c>
      <c r="D53" s="8" t="s">
        <v>180</v>
      </c>
      <c r="E53" s="2" t="s">
        <v>833</v>
      </c>
    </row>
    <row r="54" spans="1:5" x14ac:dyDescent="0.3">
      <c r="A54" s="5" t="s">
        <v>181</v>
      </c>
      <c r="B54" s="6" t="s">
        <v>182</v>
      </c>
      <c r="C54" s="7" t="s">
        <v>183</v>
      </c>
      <c r="D54" s="8" t="s">
        <v>184</v>
      </c>
      <c r="E54" s="2" t="s">
        <v>835</v>
      </c>
    </row>
    <row r="55" spans="1:5" x14ac:dyDescent="0.3">
      <c r="A55" s="5" t="s">
        <v>185</v>
      </c>
      <c r="B55" s="6" t="s">
        <v>186</v>
      </c>
      <c r="C55" s="7" t="s">
        <v>64</v>
      </c>
      <c r="D55" s="8" t="s">
        <v>187</v>
      </c>
      <c r="E55" s="2" t="s">
        <v>837</v>
      </c>
    </row>
    <row r="56" spans="1:5" x14ac:dyDescent="0.3">
      <c r="A56" s="5" t="s">
        <v>188</v>
      </c>
      <c r="B56" s="6" t="s">
        <v>189</v>
      </c>
      <c r="C56" s="7" t="s">
        <v>64</v>
      </c>
      <c r="D56" s="8" t="s">
        <v>190</v>
      </c>
      <c r="E56" s="2" t="s">
        <v>837</v>
      </c>
    </row>
    <row r="57" spans="1:5" x14ac:dyDescent="0.3">
      <c r="A57" s="5" t="s">
        <v>191</v>
      </c>
      <c r="B57" s="6" t="s">
        <v>192</v>
      </c>
      <c r="C57" s="7" t="s">
        <v>68</v>
      </c>
      <c r="D57" s="8" t="s">
        <v>193</v>
      </c>
      <c r="E57" s="2" t="s">
        <v>831</v>
      </c>
    </row>
    <row r="58" spans="1:5" x14ac:dyDescent="0.3">
      <c r="A58" s="5" t="s">
        <v>194</v>
      </c>
      <c r="B58" s="6" t="s">
        <v>195</v>
      </c>
      <c r="C58" s="7" t="s">
        <v>196</v>
      </c>
      <c r="D58" s="8" t="s">
        <v>197</v>
      </c>
      <c r="E58" s="2" t="s">
        <v>830</v>
      </c>
    </row>
    <row r="59" spans="1:5" x14ac:dyDescent="0.3">
      <c r="A59" s="5" t="s">
        <v>198</v>
      </c>
      <c r="B59" s="6" t="s">
        <v>199</v>
      </c>
      <c r="C59" s="7" t="s">
        <v>200</v>
      </c>
      <c r="D59" s="8" t="s">
        <v>201</v>
      </c>
      <c r="E59" s="2" t="s">
        <v>835</v>
      </c>
    </row>
    <row r="60" spans="1:5" x14ac:dyDescent="0.3">
      <c r="A60" s="5" t="s">
        <v>202</v>
      </c>
      <c r="B60" s="6" t="s">
        <v>203</v>
      </c>
      <c r="C60" s="7" t="s">
        <v>204</v>
      </c>
      <c r="D60" s="8" t="s">
        <v>205</v>
      </c>
      <c r="E60" s="2" t="s">
        <v>831</v>
      </c>
    </row>
    <row r="61" spans="1:5" x14ac:dyDescent="0.3">
      <c r="A61" s="5" t="s">
        <v>206</v>
      </c>
      <c r="B61" s="6" t="s">
        <v>207</v>
      </c>
      <c r="C61" s="7" t="s">
        <v>130</v>
      </c>
      <c r="D61" s="8" t="s">
        <v>208</v>
      </c>
      <c r="E61" s="2" t="s">
        <v>830</v>
      </c>
    </row>
    <row r="62" spans="1:5" x14ac:dyDescent="0.3">
      <c r="A62" s="5" t="s">
        <v>209</v>
      </c>
      <c r="B62" s="6" t="s">
        <v>210</v>
      </c>
      <c r="C62" s="7" t="s">
        <v>42</v>
      </c>
      <c r="D62" s="8" t="s">
        <v>211</v>
      </c>
      <c r="E62" s="2" t="s">
        <v>831</v>
      </c>
    </row>
    <row r="63" spans="1:5" x14ac:dyDescent="0.3">
      <c r="A63" s="5" t="s">
        <v>212</v>
      </c>
      <c r="B63" s="6" t="s">
        <v>213</v>
      </c>
      <c r="C63" s="7" t="s">
        <v>34</v>
      </c>
      <c r="D63" s="8" t="s">
        <v>214</v>
      </c>
      <c r="E63" s="2" t="s">
        <v>831</v>
      </c>
    </row>
    <row r="64" spans="1:5" x14ac:dyDescent="0.3">
      <c r="A64" s="5" t="s">
        <v>215</v>
      </c>
      <c r="B64" s="6" t="s">
        <v>216</v>
      </c>
      <c r="C64" s="7" t="s">
        <v>34</v>
      </c>
      <c r="D64" s="8" t="s">
        <v>217</v>
      </c>
      <c r="E64" s="2" t="s">
        <v>831</v>
      </c>
    </row>
    <row r="65" spans="1:5" x14ac:dyDescent="0.3">
      <c r="A65" s="5" t="s">
        <v>218</v>
      </c>
      <c r="B65" s="6" t="s">
        <v>219</v>
      </c>
      <c r="C65" s="7" t="s">
        <v>220</v>
      </c>
      <c r="D65" s="8" t="s">
        <v>221</v>
      </c>
      <c r="E65" s="2" t="s">
        <v>832</v>
      </c>
    </row>
    <row r="66" spans="1:5" x14ac:dyDescent="0.3">
      <c r="A66" s="5" t="s">
        <v>222</v>
      </c>
      <c r="B66" s="6" t="s">
        <v>223</v>
      </c>
      <c r="C66" s="7" t="s">
        <v>34</v>
      </c>
      <c r="D66" s="8" t="s">
        <v>224</v>
      </c>
      <c r="E66" s="2" t="s">
        <v>833</v>
      </c>
    </row>
    <row r="67" spans="1:5" x14ac:dyDescent="0.3">
      <c r="A67" s="5" t="s">
        <v>225</v>
      </c>
      <c r="B67" s="6" t="s">
        <v>226</v>
      </c>
      <c r="C67" s="7" t="s">
        <v>227</v>
      </c>
      <c r="D67" s="8" t="s">
        <v>228</v>
      </c>
      <c r="E67" s="2" t="s">
        <v>830</v>
      </c>
    </row>
    <row r="68" spans="1:5" x14ac:dyDescent="0.3">
      <c r="A68" s="5" t="s">
        <v>229</v>
      </c>
      <c r="B68" s="10" t="s">
        <v>230</v>
      </c>
      <c r="C68" s="7" t="s">
        <v>231</v>
      </c>
      <c r="D68" s="8" t="s">
        <v>232</v>
      </c>
      <c r="E68" s="2" t="s">
        <v>833</v>
      </c>
    </row>
    <row r="69" spans="1:5" x14ac:dyDescent="0.3">
      <c r="A69" s="5" t="s">
        <v>233</v>
      </c>
      <c r="B69" s="6" t="s">
        <v>234</v>
      </c>
      <c r="C69" s="7" t="s">
        <v>64</v>
      </c>
      <c r="D69" s="8" t="s">
        <v>235</v>
      </c>
      <c r="E69" s="2" t="s">
        <v>835</v>
      </c>
    </row>
    <row r="70" spans="1:5" x14ac:dyDescent="0.3">
      <c r="A70" s="5" t="s">
        <v>236</v>
      </c>
      <c r="B70" s="6" t="s">
        <v>237</v>
      </c>
      <c r="C70" s="7" t="s">
        <v>64</v>
      </c>
      <c r="D70" s="8" t="s">
        <v>238</v>
      </c>
      <c r="E70" s="2" t="s">
        <v>831</v>
      </c>
    </row>
    <row r="71" spans="1:5" x14ac:dyDescent="0.3">
      <c r="A71" s="5" t="s">
        <v>239</v>
      </c>
      <c r="B71" s="6" t="s">
        <v>240</v>
      </c>
      <c r="C71" s="7" t="s">
        <v>241</v>
      </c>
      <c r="D71" s="8" t="s">
        <v>242</v>
      </c>
      <c r="E71" s="2" t="s">
        <v>832</v>
      </c>
    </row>
    <row r="72" spans="1:5" x14ac:dyDescent="0.3">
      <c r="A72" s="5" t="s">
        <v>243</v>
      </c>
      <c r="B72" s="6" t="s">
        <v>244</v>
      </c>
      <c r="C72" s="7" t="s">
        <v>245</v>
      </c>
      <c r="D72" s="8" t="s">
        <v>246</v>
      </c>
      <c r="E72" s="2" t="s">
        <v>831</v>
      </c>
    </row>
    <row r="73" spans="1:5" x14ac:dyDescent="0.3">
      <c r="A73" s="5" t="s">
        <v>247</v>
      </c>
      <c r="B73" s="6" t="s">
        <v>248</v>
      </c>
      <c r="C73" s="7" t="s">
        <v>165</v>
      </c>
      <c r="D73" s="8" t="s">
        <v>249</v>
      </c>
      <c r="E73" s="2" t="s">
        <v>832</v>
      </c>
    </row>
    <row r="74" spans="1:5" x14ac:dyDescent="0.3">
      <c r="A74" s="5" t="s">
        <v>250</v>
      </c>
      <c r="B74" s="6" t="s">
        <v>251</v>
      </c>
      <c r="C74" s="7" t="s">
        <v>60</v>
      </c>
      <c r="D74" s="8" t="s">
        <v>252</v>
      </c>
      <c r="E74" s="2" t="s">
        <v>831</v>
      </c>
    </row>
    <row r="75" spans="1:5" x14ac:dyDescent="0.3">
      <c r="A75" s="5" t="s">
        <v>253</v>
      </c>
      <c r="B75" s="6" t="s">
        <v>254</v>
      </c>
      <c r="C75" s="7" t="s">
        <v>255</v>
      </c>
      <c r="D75" s="8" t="s">
        <v>256</v>
      </c>
      <c r="E75" s="2" t="s">
        <v>832</v>
      </c>
    </row>
    <row r="76" spans="1:5" x14ac:dyDescent="0.3">
      <c r="A76" s="5" t="s">
        <v>257</v>
      </c>
      <c r="B76" s="6" t="s">
        <v>258</v>
      </c>
      <c r="C76" s="7" t="s">
        <v>259</v>
      </c>
      <c r="D76" s="8" t="s">
        <v>260</v>
      </c>
      <c r="E76" s="2" t="s">
        <v>837</v>
      </c>
    </row>
    <row r="77" spans="1:5" x14ac:dyDescent="0.3">
      <c r="A77" s="5" t="s">
        <v>261</v>
      </c>
      <c r="B77" s="6" t="s">
        <v>262</v>
      </c>
      <c r="C77" s="7" t="s">
        <v>64</v>
      </c>
      <c r="D77" s="8" t="s">
        <v>263</v>
      </c>
      <c r="E77" s="2" t="s">
        <v>837</v>
      </c>
    </row>
    <row r="78" spans="1:5" x14ac:dyDescent="0.3">
      <c r="A78" s="5" t="s">
        <v>264</v>
      </c>
      <c r="B78" s="6" t="s">
        <v>265</v>
      </c>
      <c r="C78" s="7" t="s">
        <v>64</v>
      </c>
      <c r="D78" s="8" t="s">
        <v>266</v>
      </c>
      <c r="E78" s="2" t="s">
        <v>830</v>
      </c>
    </row>
    <row r="79" spans="1:5" x14ac:dyDescent="0.3">
      <c r="A79" s="5" t="s">
        <v>267</v>
      </c>
      <c r="B79" s="6" t="s">
        <v>268</v>
      </c>
      <c r="C79" s="7" t="s">
        <v>34</v>
      </c>
      <c r="D79" s="8" t="s">
        <v>269</v>
      </c>
      <c r="E79" s="2" t="s">
        <v>837</v>
      </c>
    </row>
    <row r="80" spans="1:5" x14ac:dyDescent="0.3">
      <c r="A80" s="5" t="s">
        <v>270</v>
      </c>
      <c r="B80" s="6" t="s">
        <v>271</v>
      </c>
      <c r="C80" s="7" t="s">
        <v>241</v>
      </c>
      <c r="D80" s="8" t="s">
        <v>272</v>
      </c>
      <c r="E80" s="2" t="s">
        <v>831</v>
      </c>
    </row>
    <row r="81" spans="1:5" x14ac:dyDescent="0.3">
      <c r="A81" s="5" t="s">
        <v>273</v>
      </c>
      <c r="B81" s="6" t="s">
        <v>274</v>
      </c>
      <c r="C81" s="7" t="s">
        <v>64</v>
      </c>
      <c r="D81" s="8" t="s">
        <v>275</v>
      </c>
      <c r="E81" s="2" t="s">
        <v>836</v>
      </c>
    </row>
    <row r="82" spans="1:5" x14ac:dyDescent="0.3">
      <c r="A82" s="5" t="s">
        <v>276</v>
      </c>
      <c r="B82" s="6" t="s">
        <v>277</v>
      </c>
      <c r="C82" s="7" t="s">
        <v>278</v>
      </c>
      <c r="D82" s="8" t="s">
        <v>279</v>
      </c>
      <c r="E82" s="2" t="s">
        <v>833</v>
      </c>
    </row>
    <row r="83" spans="1:5" x14ac:dyDescent="0.3">
      <c r="A83" s="5" t="s">
        <v>280</v>
      </c>
      <c r="B83" s="6" t="s">
        <v>281</v>
      </c>
      <c r="C83" s="7" t="s">
        <v>22</v>
      </c>
      <c r="D83" s="8" t="s">
        <v>282</v>
      </c>
      <c r="E83" s="2" t="s">
        <v>829</v>
      </c>
    </row>
    <row r="84" spans="1:5" x14ac:dyDescent="0.3">
      <c r="A84" s="5" t="s">
        <v>283</v>
      </c>
      <c r="B84" s="6" t="s">
        <v>284</v>
      </c>
      <c r="C84" s="7" t="s">
        <v>285</v>
      </c>
      <c r="D84" s="8" t="s">
        <v>286</v>
      </c>
      <c r="E84" s="2" t="s">
        <v>835</v>
      </c>
    </row>
    <row r="85" spans="1:5" x14ac:dyDescent="0.3">
      <c r="A85" s="5" t="s">
        <v>287</v>
      </c>
      <c r="B85" s="6" t="s">
        <v>288</v>
      </c>
      <c r="C85" s="7" t="s">
        <v>289</v>
      </c>
      <c r="D85" s="8" t="s">
        <v>290</v>
      </c>
      <c r="E85" s="2" t="s">
        <v>837</v>
      </c>
    </row>
    <row r="86" spans="1:5" x14ac:dyDescent="0.3">
      <c r="A86" s="5" t="s">
        <v>291</v>
      </c>
      <c r="B86" s="6" t="s">
        <v>292</v>
      </c>
      <c r="C86" s="7" t="s">
        <v>42</v>
      </c>
      <c r="D86" s="8" t="s">
        <v>293</v>
      </c>
      <c r="E86" s="2" t="s">
        <v>831</v>
      </c>
    </row>
    <row r="87" spans="1:5" x14ac:dyDescent="0.3">
      <c r="A87" s="5" t="s">
        <v>294</v>
      </c>
      <c r="B87" s="6" t="s">
        <v>295</v>
      </c>
      <c r="C87" s="7" t="s">
        <v>296</v>
      </c>
      <c r="D87" s="8" t="s">
        <v>297</v>
      </c>
      <c r="E87" s="2" t="s">
        <v>829</v>
      </c>
    </row>
    <row r="88" spans="1:5" x14ac:dyDescent="0.3">
      <c r="A88" s="5" t="s">
        <v>298</v>
      </c>
      <c r="B88" s="6" t="s">
        <v>299</v>
      </c>
      <c r="C88" s="7" t="s">
        <v>64</v>
      </c>
      <c r="D88" s="8" t="s">
        <v>300</v>
      </c>
      <c r="E88" s="2" t="s">
        <v>837</v>
      </c>
    </row>
    <row r="89" spans="1:5" x14ac:dyDescent="0.3">
      <c r="A89" s="5" t="s">
        <v>301</v>
      </c>
      <c r="B89" s="6" t="s">
        <v>302</v>
      </c>
      <c r="C89" s="7" t="s">
        <v>64</v>
      </c>
      <c r="D89" s="8" t="s">
        <v>303</v>
      </c>
      <c r="E89" s="2" t="s">
        <v>831</v>
      </c>
    </row>
    <row r="90" spans="1:5" x14ac:dyDescent="0.3">
      <c r="A90" s="5" t="s">
        <v>304</v>
      </c>
      <c r="B90" s="6" t="s">
        <v>305</v>
      </c>
      <c r="C90" s="7" t="s">
        <v>68</v>
      </c>
      <c r="D90" s="8" t="s">
        <v>306</v>
      </c>
      <c r="E90" s="2" t="s">
        <v>831</v>
      </c>
    </row>
    <row r="91" spans="1:5" x14ac:dyDescent="0.3">
      <c r="A91" s="5" t="s">
        <v>307</v>
      </c>
      <c r="B91" s="6" t="s">
        <v>308</v>
      </c>
      <c r="C91" s="7" t="s">
        <v>130</v>
      </c>
      <c r="D91" s="8" t="s">
        <v>309</v>
      </c>
      <c r="E91" s="2" t="s">
        <v>831</v>
      </c>
    </row>
    <row r="92" spans="1:5" x14ac:dyDescent="0.3">
      <c r="A92" s="5" t="s">
        <v>310</v>
      </c>
      <c r="B92" s="6" t="s">
        <v>311</v>
      </c>
      <c r="C92" s="7" t="s">
        <v>64</v>
      </c>
      <c r="D92" s="8" t="s">
        <v>312</v>
      </c>
      <c r="E92" s="2" t="s">
        <v>832</v>
      </c>
    </row>
    <row r="93" spans="1:5" x14ac:dyDescent="0.3">
      <c r="A93" s="5" t="s">
        <v>313</v>
      </c>
      <c r="B93" s="6" t="s">
        <v>314</v>
      </c>
      <c r="C93" s="7" t="s">
        <v>315</v>
      </c>
      <c r="D93" s="8" t="s">
        <v>316</v>
      </c>
      <c r="E93" s="2" t="s">
        <v>833</v>
      </c>
    </row>
    <row r="94" spans="1:5" x14ac:dyDescent="0.3">
      <c r="A94" s="5" t="s">
        <v>317</v>
      </c>
      <c r="B94" s="6" t="s">
        <v>318</v>
      </c>
      <c r="C94" s="7" t="s">
        <v>142</v>
      </c>
      <c r="D94" s="8" t="s">
        <v>319</v>
      </c>
      <c r="E94" s="2" t="s">
        <v>830</v>
      </c>
    </row>
    <row r="95" spans="1:5" x14ac:dyDescent="0.3">
      <c r="A95" s="5" t="s">
        <v>320</v>
      </c>
      <c r="B95" s="6" t="s">
        <v>321</v>
      </c>
      <c r="C95" s="7" t="s">
        <v>64</v>
      </c>
      <c r="D95" s="8" t="s">
        <v>322</v>
      </c>
      <c r="E95" s="2" t="s">
        <v>832</v>
      </c>
    </row>
    <row r="96" spans="1:5" x14ac:dyDescent="0.3">
      <c r="A96" s="5" t="s">
        <v>323</v>
      </c>
      <c r="B96" s="6" t="s">
        <v>324</v>
      </c>
      <c r="C96" s="7" t="s">
        <v>325</v>
      </c>
      <c r="D96" s="8" t="s">
        <v>326</v>
      </c>
      <c r="E96" s="2" t="s">
        <v>831</v>
      </c>
    </row>
    <row r="97" spans="1:5" x14ac:dyDescent="0.3">
      <c r="A97" s="5" t="s">
        <v>327</v>
      </c>
      <c r="B97" s="6" t="s">
        <v>328</v>
      </c>
      <c r="C97" s="7" t="s">
        <v>329</v>
      </c>
      <c r="D97" s="8" t="s">
        <v>330</v>
      </c>
      <c r="E97" s="2" t="s">
        <v>830</v>
      </c>
    </row>
    <row r="98" spans="1:5" x14ac:dyDescent="0.3">
      <c r="A98" s="5" t="s">
        <v>331</v>
      </c>
      <c r="B98" s="6" t="s">
        <v>332</v>
      </c>
      <c r="C98" s="7" t="s">
        <v>259</v>
      </c>
      <c r="D98" s="8" t="s">
        <v>333</v>
      </c>
      <c r="E98" s="2" t="s">
        <v>832</v>
      </c>
    </row>
    <row r="99" spans="1:5" x14ac:dyDescent="0.3">
      <c r="A99" s="5" t="s">
        <v>334</v>
      </c>
      <c r="B99" s="6" t="s">
        <v>335</v>
      </c>
      <c r="C99" s="7" t="s">
        <v>336</v>
      </c>
      <c r="D99" s="8" t="s">
        <v>337</v>
      </c>
      <c r="E99" s="2" t="s">
        <v>831</v>
      </c>
    </row>
    <row r="100" spans="1:5" x14ac:dyDescent="0.3">
      <c r="A100" s="5" t="s">
        <v>338</v>
      </c>
      <c r="B100" s="6" t="s">
        <v>339</v>
      </c>
      <c r="C100" s="7" t="s">
        <v>259</v>
      </c>
      <c r="D100" s="8" t="s">
        <v>340</v>
      </c>
      <c r="E100" s="2" t="s">
        <v>833</v>
      </c>
    </row>
    <row r="101" spans="1:5" x14ac:dyDescent="0.3">
      <c r="A101" s="5" t="s">
        <v>341</v>
      </c>
      <c r="B101" s="6" t="s">
        <v>342</v>
      </c>
      <c r="C101" s="7" t="s">
        <v>64</v>
      </c>
      <c r="D101" s="8" t="s">
        <v>343</v>
      </c>
      <c r="E101" s="2" t="s">
        <v>832</v>
      </c>
    </row>
    <row r="102" spans="1:5" x14ac:dyDescent="0.3">
      <c r="A102" s="5" t="s">
        <v>344</v>
      </c>
      <c r="B102" s="6" t="s">
        <v>345</v>
      </c>
      <c r="C102" s="7" t="s">
        <v>64</v>
      </c>
      <c r="D102" s="8" t="s">
        <v>346</v>
      </c>
      <c r="E102" s="2" t="s">
        <v>832</v>
      </c>
    </row>
    <row r="103" spans="1:5" x14ac:dyDescent="0.3">
      <c r="A103" s="5" t="s">
        <v>347</v>
      </c>
      <c r="B103" s="6" t="s">
        <v>348</v>
      </c>
      <c r="C103" s="7" t="s">
        <v>34</v>
      </c>
      <c r="D103" s="8" t="s">
        <v>349</v>
      </c>
      <c r="E103" s="2" t="s">
        <v>838</v>
      </c>
    </row>
    <row r="104" spans="1:5" x14ac:dyDescent="0.3">
      <c r="A104" s="5" t="s">
        <v>350</v>
      </c>
      <c r="B104" s="6" t="s">
        <v>351</v>
      </c>
      <c r="C104" s="7" t="s">
        <v>34</v>
      </c>
      <c r="D104" s="8" t="s">
        <v>352</v>
      </c>
      <c r="E104" s="2" t="s">
        <v>838</v>
      </c>
    </row>
    <row r="105" spans="1:5" x14ac:dyDescent="0.3">
      <c r="A105" s="5" t="s">
        <v>353</v>
      </c>
      <c r="B105" s="6" t="s">
        <v>354</v>
      </c>
      <c r="C105" s="7" t="s">
        <v>241</v>
      </c>
      <c r="D105" s="8" t="s">
        <v>355</v>
      </c>
      <c r="E105" s="2" t="s">
        <v>831</v>
      </c>
    </row>
    <row r="106" spans="1:5" x14ac:dyDescent="0.3">
      <c r="A106" s="5" t="s">
        <v>356</v>
      </c>
      <c r="B106" s="6" t="s">
        <v>357</v>
      </c>
      <c r="C106" s="7" t="s">
        <v>64</v>
      </c>
      <c r="D106" s="8" t="s">
        <v>358</v>
      </c>
      <c r="E106" s="2" t="s">
        <v>831</v>
      </c>
    </row>
    <row r="107" spans="1:5" x14ac:dyDescent="0.3">
      <c r="A107" s="5" t="s">
        <v>359</v>
      </c>
      <c r="B107" s="6" t="s">
        <v>360</v>
      </c>
      <c r="C107" s="7" t="s">
        <v>220</v>
      </c>
      <c r="D107" s="8" t="s">
        <v>361</v>
      </c>
      <c r="E107" s="2" t="s">
        <v>832</v>
      </c>
    </row>
    <row r="108" spans="1:5" x14ac:dyDescent="0.3">
      <c r="A108" s="5" t="s">
        <v>362</v>
      </c>
      <c r="B108" s="6" t="s">
        <v>363</v>
      </c>
      <c r="C108" s="7" t="s">
        <v>259</v>
      </c>
      <c r="D108" s="8" t="s">
        <v>364</v>
      </c>
      <c r="E108" s="2" t="s">
        <v>832</v>
      </c>
    </row>
    <row r="109" spans="1:5" x14ac:dyDescent="0.3">
      <c r="A109" s="5" t="s">
        <v>365</v>
      </c>
      <c r="B109" s="6" t="s">
        <v>366</v>
      </c>
      <c r="C109" s="7" t="s">
        <v>367</v>
      </c>
      <c r="D109" s="8" t="s">
        <v>368</v>
      </c>
      <c r="E109" s="2" t="s">
        <v>839</v>
      </c>
    </row>
    <row r="110" spans="1:5" x14ac:dyDescent="0.3">
      <c r="A110" s="5" t="s">
        <v>369</v>
      </c>
      <c r="B110" s="6" t="s">
        <v>370</v>
      </c>
      <c r="C110" s="7" t="s">
        <v>138</v>
      </c>
      <c r="D110" s="8" t="s">
        <v>371</v>
      </c>
      <c r="E110" s="2" t="s">
        <v>832</v>
      </c>
    </row>
    <row r="111" spans="1:5" x14ac:dyDescent="0.3">
      <c r="A111" s="5" t="s">
        <v>372</v>
      </c>
      <c r="B111" s="6" t="s">
        <v>373</v>
      </c>
      <c r="C111" s="7" t="s">
        <v>34</v>
      </c>
      <c r="D111" s="8" t="s">
        <v>374</v>
      </c>
      <c r="E111" s="2" t="s">
        <v>833</v>
      </c>
    </row>
    <row r="112" spans="1:5" x14ac:dyDescent="0.3">
      <c r="A112" s="5" t="s">
        <v>375</v>
      </c>
      <c r="B112" s="6" t="s">
        <v>376</v>
      </c>
      <c r="C112" s="7" t="s">
        <v>259</v>
      </c>
      <c r="D112" s="8" t="s">
        <v>377</v>
      </c>
      <c r="E112" s="2" t="s">
        <v>832</v>
      </c>
    </row>
    <row r="113" spans="1:5" x14ac:dyDescent="0.3">
      <c r="A113" s="5" t="s">
        <v>378</v>
      </c>
      <c r="B113" s="6" t="s">
        <v>379</v>
      </c>
      <c r="C113" s="7" t="s">
        <v>380</v>
      </c>
      <c r="D113" s="8" t="s">
        <v>381</v>
      </c>
      <c r="E113" s="2" t="s">
        <v>831</v>
      </c>
    </row>
    <row r="114" spans="1:5" x14ac:dyDescent="0.3">
      <c r="A114" s="5" t="s">
        <v>382</v>
      </c>
      <c r="B114" s="6" t="s">
        <v>383</v>
      </c>
      <c r="C114" s="7" t="s">
        <v>384</v>
      </c>
      <c r="D114" s="8" t="s">
        <v>385</v>
      </c>
      <c r="E114" s="2" t="s">
        <v>837</v>
      </c>
    </row>
    <row r="115" spans="1:5" x14ac:dyDescent="0.3">
      <c r="A115" s="5" t="s">
        <v>386</v>
      </c>
      <c r="B115" s="6" t="s">
        <v>387</v>
      </c>
      <c r="C115" s="7" t="s">
        <v>388</v>
      </c>
      <c r="D115" s="8" t="s">
        <v>389</v>
      </c>
      <c r="E115" s="2" t="s">
        <v>837</v>
      </c>
    </row>
    <row r="116" spans="1:5" x14ac:dyDescent="0.3">
      <c r="A116" s="5" t="s">
        <v>390</v>
      </c>
      <c r="B116" s="6" t="s">
        <v>391</v>
      </c>
      <c r="C116" s="7" t="s">
        <v>392</v>
      </c>
      <c r="D116" s="8" t="s">
        <v>393</v>
      </c>
      <c r="E116" s="2" t="s">
        <v>838</v>
      </c>
    </row>
    <row r="117" spans="1:5" x14ac:dyDescent="0.3">
      <c r="A117" s="5" t="s">
        <v>394</v>
      </c>
      <c r="B117" s="6" t="s">
        <v>395</v>
      </c>
      <c r="C117" s="7" t="s">
        <v>200</v>
      </c>
      <c r="D117" s="8" t="s">
        <v>396</v>
      </c>
      <c r="E117" s="2" t="s">
        <v>837</v>
      </c>
    </row>
    <row r="118" spans="1:5" x14ac:dyDescent="0.3">
      <c r="A118" s="5" t="s">
        <v>397</v>
      </c>
      <c r="B118" s="6" t="s">
        <v>398</v>
      </c>
      <c r="C118" s="7" t="s">
        <v>399</v>
      </c>
      <c r="D118" s="8" t="s">
        <v>400</v>
      </c>
      <c r="E118" s="2" t="s">
        <v>839</v>
      </c>
    </row>
    <row r="119" spans="1:5" x14ac:dyDescent="0.3">
      <c r="A119" s="5" t="s">
        <v>401</v>
      </c>
      <c r="B119" s="6" t="s">
        <v>402</v>
      </c>
      <c r="C119" s="7" t="s">
        <v>10</v>
      </c>
      <c r="D119" s="8" t="s">
        <v>403</v>
      </c>
      <c r="E119" s="2" t="s">
        <v>831</v>
      </c>
    </row>
    <row r="120" spans="1:5" x14ac:dyDescent="0.3">
      <c r="A120" s="5" t="s">
        <v>404</v>
      </c>
      <c r="B120" s="6" t="s">
        <v>405</v>
      </c>
      <c r="C120" s="7" t="s">
        <v>72</v>
      </c>
      <c r="D120" s="8" t="s">
        <v>406</v>
      </c>
      <c r="E120" s="2" t="s">
        <v>830</v>
      </c>
    </row>
    <row r="121" spans="1:5" x14ac:dyDescent="0.3">
      <c r="A121" s="5" t="s">
        <v>407</v>
      </c>
      <c r="B121" s="6" t="s">
        <v>408</v>
      </c>
      <c r="C121" s="7" t="s">
        <v>325</v>
      </c>
      <c r="D121" s="8" t="s">
        <v>409</v>
      </c>
      <c r="E121" s="2" t="s">
        <v>838</v>
      </c>
    </row>
    <row r="122" spans="1:5" x14ac:dyDescent="0.3">
      <c r="A122" s="5" t="s">
        <v>410</v>
      </c>
      <c r="B122" s="6" t="s">
        <v>411</v>
      </c>
      <c r="C122" s="7" t="s">
        <v>412</v>
      </c>
      <c r="D122" s="8" t="s">
        <v>413</v>
      </c>
      <c r="E122" s="2" t="s">
        <v>831</v>
      </c>
    </row>
    <row r="123" spans="1:5" x14ac:dyDescent="0.3">
      <c r="A123" s="5" t="s">
        <v>414</v>
      </c>
      <c r="B123" s="6" t="s">
        <v>415</v>
      </c>
      <c r="C123" s="7" t="s">
        <v>172</v>
      </c>
      <c r="D123" s="8" t="s">
        <v>416</v>
      </c>
      <c r="E123" s="2" t="s">
        <v>839</v>
      </c>
    </row>
    <row r="124" spans="1:5" x14ac:dyDescent="0.3">
      <c r="A124" s="5" t="s">
        <v>417</v>
      </c>
      <c r="B124" s="6" t="s">
        <v>418</v>
      </c>
      <c r="C124" s="7" t="s">
        <v>419</v>
      </c>
      <c r="D124" s="8" t="s">
        <v>420</v>
      </c>
      <c r="E124" s="2" t="s">
        <v>831</v>
      </c>
    </row>
    <row r="125" spans="1:5" x14ac:dyDescent="0.3">
      <c r="A125" s="5" t="s">
        <v>421</v>
      </c>
      <c r="B125" s="6" t="s">
        <v>422</v>
      </c>
      <c r="C125" s="7" t="s">
        <v>64</v>
      </c>
      <c r="D125" s="8" t="s">
        <v>423</v>
      </c>
      <c r="E125" s="2" t="s">
        <v>832</v>
      </c>
    </row>
    <row r="126" spans="1:5" x14ac:dyDescent="0.3">
      <c r="A126" s="5" t="s">
        <v>424</v>
      </c>
      <c r="B126" s="6" t="s">
        <v>425</v>
      </c>
      <c r="C126" s="7" t="s">
        <v>64</v>
      </c>
      <c r="D126" s="8" t="s">
        <v>426</v>
      </c>
      <c r="E126" s="2" t="s">
        <v>832</v>
      </c>
    </row>
    <row r="127" spans="1:5" x14ac:dyDescent="0.3">
      <c r="A127" s="5" t="s">
        <v>427</v>
      </c>
      <c r="B127" s="6" t="s">
        <v>428</v>
      </c>
      <c r="C127" s="7" t="s">
        <v>64</v>
      </c>
      <c r="D127" s="8" t="s">
        <v>429</v>
      </c>
      <c r="E127" s="2" t="s">
        <v>832</v>
      </c>
    </row>
    <row r="128" spans="1:5" x14ac:dyDescent="0.3">
      <c r="A128" s="5" t="s">
        <v>430</v>
      </c>
      <c r="B128" s="6" t="s">
        <v>431</v>
      </c>
      <c r="C128" s="7" t="s">
        <v>432</v>
      </c>
      <c r="D128" s="8" t="s">
        <v>433</v>
      </c>
      <c r="E128" s="2" t="s">
        <v>831</v>
      </c>
    </row>
    <row r="129" spans="1:5" x14ac:dyDescent="0.3">
      <c r="A129" s="5" t="s">
        <v>434</v>
      </c>
      <c r="B129" s="6" t="s">
        <v>435</v>
      </c>
      <c r="C129" s="7" t="s">
        <v>384</v>
      </c>
      <c r="D129" s="8" t="s">
        <v>436</v>
      </c>
      <c r="E129" s="2" t="s">
        <v>837</v>
      </c>
    </row>
    <row r="130" spans="1:5" x14ac:dyDescent="0.3">
      <c r="A130" s="5" t="s">
        <v>437</v>
      </c>
      <c r="B130" s="6" t="s">
        <v>438</v>
      </c>
      <c r="C130" s="7" t="s">
        <v>259</v>
      </c>
      <c r="D130" s="8" t="s">
        <v>439</v>
      </c>
      <c r="E130" s="2" t="s">
        <v>832</v>
      </c>
    </row>
    <row r="131" spans="1:5" x14ac:dyDescent="0.3">
      <c r="A131" s="5" t="s">
        <v>440</v>
      </c>
      <c r="B131" s="6" t="s">
        <v>441</v>
      </c>
      <c r="C131" s="7" t="s">
        <v>64</v>
      </c>
      <c r="D131" s="8" t="s">
        <v>442</v>
      </c>
      <c r="E131" s="2" t="s">
        <v>837</v>
      </c>
    </row>
    <row r="132" spans="1:5" x14ac:dyDescent="0.3">
      <c r="A132" s="5" t="s">
        <v>443</v>
      </c>
      <c r="B132" s="6" t="s">
        <v>444</v>
      </c>
      <c r="C132" s="7" t="s">
        <v>278</v>
      </c>
      <c r="D132" s="8" t="s">
        <v>445</v>
      </c>
      <c r="E132" s="2" t="s">
        <v>838</v>
      </c>
    </row>
    <row r="133" spans="1:5" x14ac:dyDescent="0.3">
      <c r="A133" s="5" t="s">
        <v>446</v>
      </c>
      <c r="B133" s="6" t="s">
        <v>447</v>
      </c>
      <c r="C133" s="7" t="s">
        <v>259</v>
      </c>
      <c r="D133" s="8" t="s">
        <v>448</v>
      </c>
      <c r="E133" s="2" t="s">
        <v>832</v>
      </c>
    </row>
    <row r="134" spans="1:5" x14ac:dyDescent="0.3">
      <c r="A134" s="5" t="s">
        <v>449</v>
      </c>
      <c r="B134" s="6" t="s">
        <v>450</v>
      </c>
      <c r="C134" s="7" t="s">
        <v>64</v>
      </c>
      <c r="D134" s="8" t="s">
        <v>451</v>
      </c>
      <c r="E134" s="2" t="s">
        <v>832</v>
      </c>
    </row>
    <row r="135" spans="1:5" x14ac:dyDescent="0.3">
      <c r="A135" s="5" t="s">
        <v>452</v>
      </c>
      <c r="B135" s="6" t="s">
        <v>453</v>
      </c>
      <c r="C135" s="7" t="s">
        <v>454</v>
      </c>
      <c r="D135" s="8" t="s">
        <v>455</v>
      </c>
      <c r="E135" s="2" t="s">
        <v>833</v>
      </c>
    </row>
    <row r="136" spans="1:5" x14ac:dyDescent="0.3">
      <c r="A136" s="5" t="s">
        <v>456</v>
      </c>
      <c r="B136" s="6" t="s">
        <v>457</v>
      </c>
      <c r="C136" s="7" t="s">
        <v>458</v>
      </c>
      <c r="D136" s="8" t="s">
        <v>459</v>
      </c>
      <c r="E136" s="2" t="s">
        <v>830</v>
      </c>
    </row>
    <row r="137" spans="1:5" x14ac:dyDescent="0.3">
      <c r="A137" s="5" t="s">
        <v>460</v>
      </c>
      <c r="B137" s="6" t="s">
        <v>461</v>
      </c>
      <c r="C137" s="7" t="s">
        <v>462</v>
      </c>
      <c r="D137" s="8" t="s">
        <v>463</v>
      </c>
      <c r="E137" s="2" t="s">
        <v>833</v>
      </c>
    </row>
    <row r="138" spans="1:5" x14ac:dyDescent="0.3">
      <c r="A138" s="5" t="s">
        <v>464</v>
      </c>
      <c r="B138" s="6" t="s">
        <v>465</v>
      </c>
      <c r="C138" s="7" t="s">
        <v>466</v>
      </c>
      <c r="D138" s="8" t="s">
        <v>467</v>
      </c>
      <c r="E138" s="2" t="s">
        <v>833</v>
      </c>
    </row>
    <row r="139" spans="1:5" x14ac:dyDescent="0.3">
      <c r="A139" s="5" t="s">
        <v>468</v>
      </c>
      <c r="B139" s="6" t="s">
        <v>469</v>
      </c>
      <c r="C139" s="7" t="s">
        <v>470</v>
      </c>
      <c r="D139" s="8" t="s">
        <v>471</v>
      </c>
      <c r="E139" s="2" t="s">
        <v>832</v>
      </c>
    </row>
    <row r="140" spans="1:5" x14ac:dyDescent="0.3">
      <c r="A140" s="5" t="s">
        <v>472</v>
      </c>
      <c r="B140" s="6" t="s">
        <v>473</v>
      </c>
      <c r="C140" s="7" t="s">
        <v>412</v>
      </c>
      <c r="D140" s="8" t="s">
        <v>474</v>
      </c>
      <c r="E140" s="2" t="s">
        <v>835</v>
      </c>
    </row>
    <row r="141" spans="1:5" x14ac:dyDescent="0.3">
      <c r="A141" s="5" t="s">
        <v>475</v>
      </c>
      <c r="B141" s="6" t="s">
        <v>476</v>
      </c>
      <c r="C141" s="7" t="s">
        <v>64</v>
      </c>
      <c r="D141" s="8" t="s">
        <v>477</v>
      </c>
      <c r="E141" s="2" t="s">
        <v>833</v>
      </c>
    </row>
    <row r="142" spans="1:5" x14ac:dyDescent="0.3">
      <c r="A142" s="5" t="s">
        <v>478</v>
      </c>
      <c r="B142" s="6" t="s">
        <v>479</v>
      </c>
      <c r="C142" s="7" t="s">
        <v>42</v>
      </c>
      <c r="D142" s="8" t="s">
        <v>480</v>
      </c>
      <c r="E142" s="2" t="s">
        <v>833</v>
      </c>
    </row>
    <row r="143" spans="1:5" x14ac:dyDescent="0.3">
      <c r="A143" s="5" t="s">
        <v>481</v>
      </c>
      <c r="B143" s="6" t="s">
        <v>482</v>
      </c>
      <c r="C143" s="7" t="s">
        <v>42</v>
      </c>
      <c r="D143" s="8" t="s">
        <v>483</v>
      </c>
      <c r="E143" s="2" t="s">
        <v>831</v>
      </c>
    </row>
    <row r="144" spans="1:5" x14ac:dyDescent="0.3">
      <c r="A144" s="5" t="s">
        <v>484</v>
      </c>
      <c r="B144" s="6" t="s">
        <v>485</v>
      </c>
      <c r="C144" s="7" t="s">
        <v>42</v>
      </c>
      <c r="D144" s="8" t="s">
        <v>486</v>
      </c>
      <c r="E144" s="2" t="s">
        <v>835</v>
      </c>
    </row>
    <row r="145" spans="1:5" x14ac:dyDescent="0.3">
      <c r="A145" s="5" t="s">
        <v>487</v>
      </c>
      <c r="B145" s="6" t="s">
        <v>488</v>
      </c>
      <c r="C145" s="7" t="s">
        <v>489</v>
      </c>
      <c r="D145" s="8" t="s">
        <v>490</v>
      </c>
      <c r="E145" s="2" t="s">
        <v>830</v>
      </c>
    </row>
    <row r="146" spans="1:5" x14ac:dyDescent="0.3">
      <c r="A146" s="5" t="s">
        <v>491</v>
      </c>
      <c r="B146" s="6" t="s">
        <v>492</v>
      </c>
      <c r="C146" s="7" t="s">
        <v>42</v>
      </c>
      <c r="D146" s="8" t="s">
        <v>493</v>
      </c>
      <c r="E146" s="2" t="s">
        <v>833</v>
      </c>
    </row>
    <row r="147" spans="1:5" x14ac:dyDescent="0.3">
      <c r="A147" s="5" t="s">
        <v>494</v>
      </c>
      <c r="B147" s="6" t="s">
        <v>495</v>
      </c>
      <c r="C147" s="7" t="s">
        <v>496</v>
      </c>
      <c r="D147" s="8" t="s">
        <v>497</v>
      </c>
      <c r="E147" s="2" t="s">
        <v>830</v>
      </c>
    </row>
    <row r="148" spans="1:5" x14ac:dyDescent="0.3">
      <c r="A148" s="5" t="s">
        <v>498</v>
      </c>
      <c r="B148" s="6" t="s">
        <v>499</v>
      </c>
      <c r="C148" s="7" t="s">
        <v>500</v>
      </c>
      <c r="D148" s="8" t="s">
        <v>501</v>
      </c>
      <c r="E148" s="2" t="s">
        <v>838</v>
      </c>
    </row>
    <row r="149" spans="1:5" x14ac:dyDescent="0.3">
      <c r="A149" s="5" t="s">
        <v>502</v>
      </c>
      <c r="B149" s="6" t="s">
        <v>503</v>
      </c>
      <c r="C149" s="7" t="s">
        <v>241</v>
      </c>
      <c r="D149" s="8" t="s">
        <v>504</v>
      </c>
      <c r="E149" s="2" t="s">
        <v>837</v>
      </c>
    </row>
    <row r="150" spans="1:5" x14ac:dyDescent="0.3">
      <c r="A150" s="5" t="s">
        <v>505</v>
      </c>
      <c r="B150" s="6" t="s">
        <v>506</v>
      </c>
      <c r="C150" s="7" t="s">
        <v>507</v>
      </c>
      <c r="D150" s="8" t="s">
        <v>508</v>
      </c>
      <c r="E150" s="2" t="s">
        <v>829</v>
      </c>
    </row>
    <row r="151" spans="1:5" x14ac:dyDescent="0.3">
      <c r="A151" s="5" t="s">
        <v>509</v>
      </c>
      <c r="B151" s="6" t="s">
        <v>510</v>
      </c>
      <c r="C151" s="7" t="s">
        <v>511</v>
      </c>
      <c r="D151" s="8" t="s">
        <v>512</v>
      </c>
      <c r="E151" s="2" t="s">
        <v>836</v>
      </c>
    </row>
    <row r="152" spans="1:5" x14ac:dyDescent="0.3">
      <c r="A152" s="5" t="s">
        <v>513</v>
      </c>
      <c r="B152" s="6" t="s">
        <v>514</v>
      </c>
      <c r="C152" s="7" t="s">
        <v>496</v>
      </c>
      <c r="D152" s="8" t="s">
        <v>515</v>
      </c>
      <c r="E152" s="2" t="s">
        <v>831</v>
      </c>
    </row>
    <row r="153" spans="1:5" x14ac:dyDescent="0.3">
      <c r="A153" s="5" t="s">
        <v>516</v>
      </c>
      <c r="B153" s="6" t="s">
        <v>517</v>
      </c>
      <c r="C153" s="7" t="s">
        <v>500</v>
      </c>
      <c r="D153" s="8" t="s">
        <v>518</v>
      </c>
      <c r="E153" s="2" t="s">
        <v>838</v>
      </c>
    </row>
    <row r="154" spans="1:5" x14ac:dyDescent="0.3">
      <c r="A154" s="5" t="s">
        <v>519</v>
      </c>
      <c r="B154" s="6" t="s">
        <v>520</v>
      </c>
      <c r="C154" s="7" t="s">
        <v>521</v>
      </c>
      <c r="D154" s="8" t="s">
        <v>522</v>
      </c>
      <c r="E154" s="2" t="s">
        <v>837</v>
      </c>
    </row>
    <row r="155" spans="1:5" x14ac:dyDescent="0.3">
      <c r="A155" s="5" t="s">
        <v>523</v>
      </c>
      <c r="B155" s="6" t="s">
        <v>524</v>
      </c>
      <c r="C155" s="7" t="s">
        <v>64</v>
      </c>
      <c r="D155" s="8" t="s">
        <v>525</v>
      </c>
      <c r="E155" s="2" t="s">
        <v>837</v>
      </c>
    </row>
    <row r="156" spans="1:5" x14ac:dyDescent="0.3">
      <c r="A156" s="5" t="s">
        <v>526</v>
      </c>
      <c r="B156" s="6" t="s">
        <v>527</v>
      </c>
      <c r="C156" s="7" t="s">
        <v>130</v>
      </c>
      <c r="D156" s="8" t="s">
        <v>528</v>
      </c>
      <c r="E156" s="2" t="s">
        <v>833</v>
      </c>
    </row>
    <row r="157" spans="1:5" x14ac:dyDescent="0.3">
      <c r="A157" s="5" t="s">
        <v>529</v>
      </c>
      <c r="B157" s="6" t="s">
        <v>530</v>
      </c>
      <c r="C157" s="7" t="s">
        <v>325</v>
      </c>
      <c r="D157" s="8" t="s">
        <v>531</v>
      </c>
      <c r="E157" s="2" t="s">
        <v>829</v>
      </c>
    </row>
    <row r="158" spans="1:5" x14ac:dyDescent="0.3">
      <c r="A158" s="5" t="s">
        <v>532</v>
      </c>
      <c r="B158" s="6" t="s">
        <v>533</v>
      </c>
      <c r="C158" s="7" t="s">
        <v>2</v>
      </c>
      <c r="D158" s="8" t="s">
        <v>534</v>
      </c>
      <c r="E158" s="2" t="s">
        <v>839</v>
      </c>
    </row>
    <row r="159" spans="1:5" x14ac:dyDescent="0.3">
      <c r="A159" s="5" t="s">
        <v>535</v>
      </c>
      <c r="B159" s="6" t="s">
        <v>536</v>
      </c>
      <c r="C159" s="7" t="s">
        <v>458</v>
      </c>
      <c r="D159" s="8" t="s">
        <v>537</v>
      </c>
      <c r="E159" s="2" t="s">
        <v>830</v>
      </c>
    </row>
    <row r="160" spans="1:5" x14ac:dyDescent="0.3">
      <c r="A160" s="5" t="s">
        <v>538</v>
      </c>
      <c r="B160" s="6" t="s">
        <v>539</v>
      </c>
      <c r="C160" s="7" t="s">
        <v>540</v>
      </c>
      <c r="D160" s="8" t="s">
        <v>541</v>
      </c>
      <c r="E160" s="2" t="s">
        <v>833</v>
      </c>
    </row>
    <row r="161" spans="1:5" x14ac:dyDescent="0.3">
      <c r="A161" s="5" t="s">
        <v>542</v>
      </c>
      <c r="B161" s="6" t="s">
        <v>543</v>
      </c>
      <c r="C161" s="7" t="s">
        <v>220</v>
      </c>
      <c r="D161" s="8" t="s">
        <v>544</v>
      </c>
      <c r="E161" s="2" t="s">
        <v>832</v>
      </c>
    </row>
    <row r="162" spans="1:5" x14ac:dyDescent="0.3">
      <c r="A162" s="5" t="s">
        <v>545</v>
      </c>
      <c r="B162" s="6" t="s">
        <v>546</v>
      </c>
      <c r="C162" s="7" t="s">
        <v>432</v>
      </c>
      <c r="D162" s="8" t="s">
        <v>547</v>
      </c>
      <c r="E162" s="2" t="s">
        <v>838</v>
      </c>
    </row>
    <row r="163" spans="1:5" x14ac:dyDescent="0.3">
      <c r="A163" s="5" t="s">
        <v>548</v>
      </c>
      <c r="B163" s="6" t="s">
        <v>549</v>
      </c>
      <c r="C163" s="7" t="s">
        <v>34</v>
      </c>
      <c r="D163" s="8" t="s">
        <v>550</v>
      </c>
      <c r="E163" s="2" t="s">
        <v>830</v>
      </c>
    </row>
    <row r="164" spans="1:5" x14ac:dyDescent="0.3">
      <c r="A164" s="5" t="s">
        <v>551</v>
      </c>
      <c r="B164" s="6" t="s">
        <v>552</v>
      </c>
      <c r="C164" s="7" t="s">
        <v>553</v>
      </c>
      <c r="D164" s="8" t="s">
        <v>554</v>
      </c>
      <c r="E164" s="2" t="s">
        <v>839</v>
      </c>
    </row>
    <row r="165" spans="1:5" x14ac:dyDescent="0.3">
      <c r="A165" s="5" t="s">
        <v>555</v>
      </c>
      <c r="B165" s="6" t="s">
        <v>556</v>
      </c>
      <c r="C165" s="7" t="s">
        <v>557</v>
      </c>
      <c r="D165" s="8" t="s">
        <v>558</v>
      </c>
      <c r="E165" s="2" t="s">
        <v>838</v>
      </c>
    </row>
    <row r="166" spans="1:5" x14ac:dyDescent="0.3">
      <c r="A166" s="5" t="s">
        <v>559</v>
      </c>
      <c r="B166" s="6" t="s">
        <v>560</v>
      </c>
      <c r="C166" s="7" t="s">
        <v>64</v>
      </c>
      <c r="D166" s="8" t="s">
        <v>561</v>
      </c>
      <c r="E166" s="2" t="s">
        <v>831</v>
      </c>
    </row>
    <row r="167" spans="1:5" x14ac:dyDescent="0.3">
      <c r="A167" s="5" t="s">
        <v>562</v>
      </c>
      <c r="B167" s="6" t="s">
        <v>563</v>
      </c>
      <c r="C167" s="7" t="s">
        <v>564</v>
      </c>
      <c r="D167" s="8" t="s">
        <v>565</v>
      </c>
      <c r="E167" s="2" t="s">
        <v>831</v>
      </c>
    </row>
    <row r="168" spans="1:5" x14ac:dyDescent="0.3">
      <c r="A168" s="5" t="s">
        <v>566</v>
      </c>
      <c r="B168" s="6" t="s">
        <v>567</v>
      </c>
      <c r="C168" s="7" t="s">
        <v>568</v>
      </c>
      <c r="D168" s="8" t="s">
        <v>569</v>
      </c>
      <c r="E168" s="2" t="s">
        <v>839</v>
      </c>
    </row>
    <row r="169" spans="1:5" x14ac:dyDescent="0.3">
      <c r="A169" s="5" t="s">
        <v>570</v>
      </c>
      <c r="B169" s="6" t="s">
        <v>571</v>
      </c>
      <c r="C169" s="7" t="s">
        <v>572</v>
      </c>
      <c r="D169" s="8" t="s">
        <v>573</v>
      </c>
      <c r="E169" s="2" t="s">
        <v>832</v>
      </c>
    </row>
    <row r="170" spans="1:5" x14ac:dyDescent="0.3">
      <c r="A170" s="5" t="s">
        <v>574</v>
      </c>
      <c r="B170" s="6" t="s">
        <v>575</v>
      </c>
      <c r="C170" s="7" t="s">
        <v>42</v>
      </c>
      <c r="D170" s="8" t="s">
        <v>576</v>
      </c>
      <c r="E170" s="2" t="s">
        <v>838</v>
      </c>
    </row>
    <row r="171" spans="1:5" x14ac:dyDescent="0.3">
      <c r="A171" s="5" t="s">
        <v>577</v>
      </c>
      <c r="B171" s="6" t="s">
        <v>578</v>
      </c>
      <c r="C171" s="7" t="s">
        <v>579</v>
      </c>
      <c r="D171" s="8" t="s">
        <v>580</v>
      </c>
      <c r="E171" s="2" t="s">
        <v>833</v>
      </c>
    </row>
    <row r="172" spans="1:5" x14ac:dyDescent="0.3">
      <c r="A172" s="5" t="s">
        <v>581</v>
      </c>
      <c r="B172" s="6" t="s">
        <v>582</v>
      </c>
      <c r="C172" s="7" t="s">
        <v>583</v>
      </c>
      <c r="D172" s="8" t="s">
        <v>584</v>
      </c>
      <c r="E172" s="2" t="s">
        <v>839</v>
      </c>
    </row>
    <row r="173" spans="1:5" x14ac:dyDescent="0.3">
      <c r="A173" s="5" t="s">
        <v>585</v>
      </c>
      <c r="B173" s="6" t="s">
        <v>586</v>
      </c>
      <c r="C173" s="7" t="s">
        <v>587</v>
      </c>
      <c r="D173" s="8" t="s">
        <v>588</v>
      </c>
      <c r="E173" s="2" t="s">
        <v>830</v>
      </c>
    </row>
    <row r="174" spans="1:5" x14ac:dyDescent="0.3">
      <c r="A174" s="5" t="s">
        <v>589</v>
      </c>
      <c r="B174" s="6" t="s">
        <v>590</v>
      </c>
      <c r="C174" s="7" t="s">
        <v>200</v>
      </c>
      <c r="D174" s="8" t="s">
        <v>591</v>
      </c>
      <c r="E174" s="2" t="s">
        <v>838</v>
      </c>
    </row>
    <row r="175" spans="1:5" x14ac:dyDescent="0.3">
      <c r="A175" s="5" t="s">
        <v>592</v>
      </c>
      <c r="B175" s="6" t="s">
        <v>593</v>
      </c>
      <c r="C175" s="7" t="s">
        <v>200</v>
      </c>
      <c r="D175" s="8" t="s">
        <v>594</v>
      </c>
      <c r="E175" s="2" t="s">
        <v>838</v>
      </c>
    </row>
    <row r="176" spans="1:5" x14ac:dyDescent="0.3">
      <c r="A176" s="5" t="s">
        <v>595</v>
      </c>
      <c r="B176" s="6" t="s">
        <v>596</v>
      </c>
      <c r="C176" s="7" t="s">
        <v>597</v>
      </c>
      <c r="D176" s="8" t="s">
        <v>598</v>
      </c>
      <c r="E176" s="2" t="s">
        <v>830</v>
      </c>
    </row>
    <row r="177" spans="1:5" x14ac:dyDescent="0.3">
      <c r="A177" s="5" t="s">
        <v>599</v>
      </c>
      <c r="B177" s="6" t="s">
        <v>600</v>
      </c>
      <c r="C177" s="7" t="s">
        <v>601</v>
      </c>
      <c r="D177" s="8" t="s">
        <v>602</v>
      </c>
      <c r="E177" s="2" t="s">
        <v>832</v>
      </c>
    </row>
    <row r="178" spans="1:5" x14ac:dyDescent="0.3">
      <c r="A178" s="5" t="s">
        <v>603</v>
      </c>
      <c r="B178" s="6" t="s">
        <v>604</v>
      </c>
      <c r="C178" s="7" t="s">
        <v>64</v>
      </c>
      <c r="D178" s="8" t="s">
        <v>605</v>
      </c>
      <c r="E178" s="2" t="s">
        <v>837</v>
      </c>
    </row>
    <row r="179" spans="1:5" x14ac:dyDescent="0.3">
      <c r="A179" s="5" t="s">
        <v>606</v>
      </c>
      <c r="B179" s="6" t="s">
        <v>607</v>
      </c>
      <c r="C179" s="7" t="s">
        <v>466</v>
      </c>
      <c r="D179" s="8" t="s">
        <v>608</v>
      </c>
      <c r="E179" s="2" t="s">
        <v>831</v>
      </c>
    </row>
    <row r="180" spans="1:5" x14ac:dyDescent="0.3">
      <c r="A180" s="5" t="s">
        <v>609</v>
      </c>
      <c r="B180" s="6" t="s">
        <v>610</v>
      </c>
      <c r="C180" s="7" t="s">
        <v>564</v>
      </c>
      <c r="D180" s="8" t="s">
        <v>611</v>
      </c>
      <c r="E180" s="2" t="s">
        <v>833</v>
      </c>
    </row>
    <row r="181" spans="1:5" x14ac:dyDescent="0.3">
      <c r="A181" s="5" t="s">
        <v>612</v>
      </c>
      <c r="B181" s="6" t="s">
        <v>613</v>
      </c>
      <c r="C181" s="7" t="s">
        <v>380</v>
      </c>
      <c r="D181" s="8" t="s">
        <v>614</v>
      </c>
      <c r="E181" s="2" t="s">
        <v>833</v>
      </c>
    </row>
    <row r="182" spans="1:5" x14ac:dyDescent="0.3">
      <c r="A182" s="5" t="s">
        <v>615</v>
      </c>
      <c r="B182" s="6" t="s">
        <v>616</v>
      </c>
      <c r="C182" s="7" t="s">
        <v>130</v>
      </c>
      <c r="D182" s="8" t="s">
        <v>617</v>
      </c>
      <c r="E182" s="2" t="s">
        <v>829</v>
      </c>
    </row>
    <row r="183" spans="1:5" x14ac:dyDescent="0.3">
      <c r="A183" s="5" t="s">
        <v>618</v>
      </c>
      <c r="B183" s="6" t="s">
        <v>619</v>
      </c>
      <c r="C183" s="7" t="s">
        <v>138</v>
      </c>
      <c r="D183" s="8" t="s">
        <v>620</v>
      </c>
      <c r="E183" s="2" t="s">
        <v>829</v>
      </c>
    </row>
    <row r="184" spans="1:5" x14ac:dyDescent="0.3">
      <c r="A184" s="5" t="s">
        <v>621</v>
      </c>
      <c r="B184" s="6" t="s">
        <v>622</v>
      </c>
      <c r="C184" s="7" t="s">
        <v>64</v>
      </c>
      <c r="D184" s="8" t="s">
        <v>623</v>
      </c>
      <c r="E184" s="2" t="s">
        <v>837</v>
      </c>
    </row>
    <row r="185" spans="1:5" x14ac:dyDescent="0.3">
      <c r="A185" s="5" t="s">
        <v>624</v>
      </c>
      <c r="B185" s="6" t="s">
        <v>625</v>
      </c>
      <c r="C185" s="7" t="s">
        <v>64</v>
      </c>
      <c r="D185" s="8" t="s">
        <v>626</v>
      </c>
      <c r="E185" s="2" t="s">
        <v>833</v>
      </c>
    </row>
    <row r="186" spans="1:5" x14ac:dyDescent="0.3">
      <c r="A186" s="5" t="s">
        <v>627</v>
      </c>
      <c r="B186" s="6" t="s">
        <v>628</v>
      </c>
      <c r="C186" s="7" t="s">
        <v>200</v>
      </c>
      <c r="D186" s="8" t="s">
        <v>629</v>
      </c>
      <c r="E186" s="2" t="s">
        <v>837</v>
      </c>
    </row>
    <row r="187" spans="1:5" x14ac:dyDescent="0.3">
      <c r="A187" s="5" t="s">
        <v>630</v>
      </c>
      <c r="B187" s="6" t="s">
        <v>631</v>
      </c>
      <c r="C187" s="7" t="s">
        <v>632</v>
      </c>
      <c r="D187" s="8" t="s">
        <v>633</v>
      </c>
      <c r="E187" s="2" t="s">
        <v>831</v>
      </c>
    </row>
    <row r="188" spans="1:5" x14ac:dyDescent="0.3">
      <c r="A188" s="5" t="s">
        <v>634</v>
      </c>
      <c r="B188" s="6" t="s">
        <v>635</v>
      </c>
      <c r="C188" s="7" t="s">
        <v>636</v>
      </c>
      <c r="D188" s="8" t="s">
        <v>637</v>
      </c>
      <c r="E188" s="2" t="s">
        <v>840</v>
      </c>
    </row>
    <row r="189" spans="1:5" x14ac:dyDescent="0.3">
      <c r="A189" s="5" t="s">
        <v>638</v>
      </c>
      <c r="B189" s="6" t="s">
        <v>639</v>
      </c>
      <c r="C189" s="7" t="s">
        <v>64</v>
      </c>
      <c r="D189" s="8" t="s">
        <v>640</v>
      </c>
      <c r="E189" s="2" t="s">
        <v>832</v>
      </c>
    </row>
    <row r="190" spans="1:5" x14ac:dyDescent="0.3">
      <c r="A190" s="5" t="s">
        <v>641</v>
      </c>
      <c r="B190" s="6" t="s">
        <v>642</v>
      </c>
      <c r="C190" s="7" t="s">
        <v>643</v>
      </c>
      <c r="D190" s="8" t="s">
        <v>644</v>
      </c>
      <c r="E190" s="2" t="s">
        <v>839</v>
      </c>
    </row>
    <row r="191" spans="1:5" x14ac:dyDescent="0.3">
      <c r="A191" s="5" t="s">
        <v>645</v>
      </c>
      <c r="B191" s="6" t="s">
        <v>646</v>
      </c>
      <c r="C191" s="7" t="s">
        <v>647</v>
      </c>
      <c r="D191" s="8" t="s">
        <v>648</v>
      </c>
      <c r="E191" s="2" t="s">
        <v>838</v>
      </c>
    </row>
    <row r="192" spans="1:5" x14ac:dyDescent="0.3">
      <c r="A192" s="5" t="s">
        <v>649</v>
      </c>
      <c r="B192" s="6" t="s">
        <v>650</v>
      </c>
      <c r="C192" s="7" t="s">
        <v>651</v>
      </c>
      <c r="D192" s="8" t="s">
        <v>652</v>
      </c>
      <c r="E192" s="2" t="s">
        <v>831</v>
      </c>
    </row>
    <row r="193" spans="1:5" x14ac:dyDescent="0.3">
      <c r="A193" s="5" t="s">
        <v>653</v>
      </c>
      <c r="B193" s="6" t="s">
        <v>654</v>
      </c>
      <c r="C193" s="7" t="s">
        <v>655</v>
      </c>
      <c r="D193" s="8" t="s">
        <v>656</v>
      </c>
      <c r="E193" s="2" t="s">
        <v>839</v>
      </c>
    </row>
    <row r="194" spans="1:5" x14ac:dyDescent="0.3">
      <c r="A194" s="5" t="s">
        <v>657</v>
      </c>
      <c r="B194" s="6" t="s">
        <v>658</v>
      </c>
      <c r="C194" s="7" t="s">
        <v>64</v>
      </c>
      <c r="D194" s="8" t="s">
        <v>659</v>
      </c>
      <c r="E194" s="2" t="s">
        <v>837</v>
      </c>
    </row>
    <row r="195" spans="1:5" x14ac:dyDescent="0.3">
      <c r="A195" s="5" t="s">
        <v>660</v>
      </c>
      <c r="B195" s="6" t="s">
        <v>661</v>
      </c>
      <c r="C195" s="7" t="s">
        <v>662</v>
      </c>
      <c r="D195" s="8" t="s">
        <v>663</v>
      </c>
      <c r="E195" s="2" t="s">
        <v>829</v>
      </c>
    </row>
    <row r="196" spans="1:5" x14ac:dyDescent="0.3">
      <c r="A196" s="5" t="s">
        <v>664</v>
      </c>
      <c r="B196" s="6" t="s">
        <v>665</v>
      </c>
      <c r="C196" s="7" t="s">
        <v>259</v>
      </c>
      <c r="D196" s="8" t="s">
        <v>666</v>
      </c>
      <c r="E196" s="2" t="s">
        <v>832</v>
      </c>
    </row>
    <row r="197" spans="1:5" x14ac:dyDescent="0.3">
      <c r="A197" s="5" t="s">
        <v>667</v>
      </c>
      <c r="B197" s="6" t="s">
        <v>668</v>
      </c>
      <c r="C197" s="7" t="s">
        <v>34</v>
      </c>
      <c r="D197" s="8" t="s">
        <v>669</v>
      </c>
      <c r="E197" s="2" t="s">
        <v>832</v>
      </c>
    </row>
    <row r="198" spans="1:5" x14ac:dyDescent="0.3">
      <c r="A198" s="5" t="s">
        <v>670</v>
      </c>
      <c r="B198" s="6" t="s">
        <v>671</v>
      </c>
      <c r="C198" s="7" t="s">
        <v>34</v>
      </c>
      <c r="D198" s="8" t="s">
        <v>672</v>
      </c>
      <c r="E198" s="2" t="s">
        <v>832</v>
      </c>
    </row>
    <row r="199" spans="1:5" x14ac:dyDescent="0.3">
      <c r="A199" s="5" t="s">
        <v>673</v>
      </c>
      <c r="B199" s="6" t="s">
        <v>674</v>
      </c>
      <c r="C199" s="7" t="s">
        <v>675</v>
      </c>
      <c r="D199" s="8" t="s">
        <v>676</v>
      </c>
      <c r="E199" s="2" t="s">
        <v>837</v>
      </c>
    </row>
    <row r="200" spans="1:5" x14ac:dyDescent="0.3">
      <c r="A200" s="5" t="s">
        <v>677</v>
      </c>
      <c r="B200" s="6" t="s">
        <v>678</v>
      </c>
      <c r="C200" s="7" t="s">
        <v>241</v>
      </c>
      <c r="D200" s="8" t="s">
        <v>679</v>
      </c>
      <c r="E200" s="2" t="s">
        <v>837</v>
      </c>
    </row>
    <row r="201" spans="1:5" x14ac:dyDescent="0.3">
      <c r="A201" s="5" t="s">
        <v>680</v>
      </c>
      <c r="B201" s="6" t="s">
        <v>681</v>
      </c>
      <c r="C201" s="7" t="s">
        <v>60</v>
      </c>
      <c r="D201" s="8" t="s">
        <v>682</v>
      </c>
      <c r="E201" s="2" t="s">
        <v>839</v>
      </c>
    </row>
    <row r="202" spans="1:5" x14ac:dyDescent="0.3">
      <c r="A202" s="5" t="s">
        <v>683</v>
      </c>
      <c r="B202" s="6" t="s">
        <v>684</v>
      </c>
      <c r="C202" s="7" t="s">
        <v>651</v>
      </c>
      <c r="D202" s="8" t="s">
        <v>685</v>
      </c>
      <c r="E202" s="2" t="s">
        <v>831</v>
      </c>
    </row>
    <row r="203" spans="1:5" x14ac:dyDescent="0.3">
      <c r="A203" s="5" t="s">
        <v>686</v>
      </c>
      <c r="B203" s="6" t="s">
        <v>687</v>
      </c>
      <c r="C203" s="7" t="s">
        <v>688</v>
      </c>
      <c r="D203" s="8" t="s">
        <v>689</v>
      </c>
      <c r="E203" s="2" t="s">
        <v>839</v>
      </c>
    </row>
    <row r="204" spans="1:5" x14ac:dyDescent="0.3">
      <c r="A204" s="5" t="s">
        <v>690</v>
      </c>
      <c r="B204" s="6" t="s">
        <v>691</v>
      </c>
      <c r="C204" s="7" t="s">
        <v>692</v>
      </c>
      <c r="D204" s="8" t="s">
        <v>693</v>
      </c>
      <c r="E204" s="2" t="s">
        <v>829</v>
      </c>
    </row>
    <row r="205" spans="1:5" x14ac:dyDescent="0.3">
      <c r="A205" s="5" t="s">
        <v>694</v>
      </c>
      <c r="B205" s="6" t="s">
        <v>695</v>
      </c>
      <c r="C205" s="7" t="s">
        <v>64</v>
      </c>
      <c r="D205" s="8" t="s">
        <v>696</v>
      </c>
      <c r="E205" s="2" t="s">
        <v>837</v>
      </c>
    </row>
    <row r="206" spans="1:5" x14ac:dyDescent="0.3">
      <c r="A206" s="5" t="s">
        <v>697</v>
      </c>
      <c r="B206" s="6" t="s">
        <v>698</v>
      </c>
      <c r="C206" s="7" t="s">
        <v>42</v>
      </c>
      <c r="D206" s="8" t="s">
        <v>699</v>
      </c>
      <c r="E206" s="2" t="s">
        <v>833</v>
      </c>
    </row>
    <row r="207" spans="1:5" x14ac:dyDescent="0.3">
      <c r="A207" s="5" t="s">
        <v>700</v>
      </c>
      <c r="B207" s="6" t="s">
        <v>698</v>
      </c>
      <c r="C207" s="7" t="s">
        <v>42</v>
      </c>
      <c r="D207" s="8" t="s">
        <v>699</v>
      </c>
      <c r="E207" s="2" t="s">
        <v>833</v>
      </c>
    </row>
    <row r="208" spans="1:5" x14ac:dyDescent="0.3">
      <c r="A208" s="5" t="s">
        <v>701</v>
      </c>
      <c r="B208" s="6" t="s">
        <v>702</v>
      </c>
      <c r="C208" s="7" t="s">
        <v>380</v>
      </c>
      <c r="D208" s="8" t="s">
        <v>703</v>
      </c>
      <c r="E208" s="2" t="s">
        <v>836</v>
      </c>
    </row>
    <row r="209" spans="1:5" x14ac:dyDescent="0.3">
      <c r="A209" s="5" t="s">
        <v>704</v>
      </c>
      <c r="B209" s="6" t="s">
        <v>705</v>
      </c>
      <c r="C209" s="7" t="s">
        <v>34</v>
      </c>
      <c r="D209" s="8" t="s">
        <v>706</v>
      </c>
      <c r="E209" s="2" t="s">
        <v>837</v>
      </c>
    </row>
    <row r="210" spans="1:5" x14ac:dyDescent="0.3">
      <c r="A210" s="5" t="s">
        <v>707</v>
      </c>
      <c r="B210" s="6" t="s">
        <v>708</v>
      </c>
      <c r="C210" s="7" t="s">
        <v>231</v>
      </c>
      <c r="D210" s="8" t="s">
        <v>709</v>
      </c>
      <c r="E210" s="2" t="s">
        <v>837</v>
      </c>
    </row>
    <row r="211" spans="1:5" x14ac:dyDescent="0.3">
      <c r="A211" s="5" t="s">
        <v>710</v>
      </c>
      <c r="B211" s="6" t="s">
        <v>711</v>
      </c>
      <c r="C211" s="7" t="s">
        <v>712</v>
      </c>
      <c r="D211" s="8" t="s">
        <v>713</v>
      </c>
      <c r="E211" s="2" t="s">
        <v>839</v>
      </c>
    </row>
    <row r="212" spans="1:5" x14ac:dyDescent="0.3">
      <c r="A212" s="5" t="s">
        <v>714</v>
      </c>
      <c r="B212" s="6" t="s">
        <v>705</v>
      </c>
      <c r="C212" s="7" t="s">
        <v>34</v>
      </c>
      <c r="D212" s="8" t="s">
        <v>706</v>
      </c>
      <c r="E212" s="2" t="s">
        <v>837</v>
      </c>
    </row>
    <row r="213" spans="1:5" x14ac:dyDescent="0.3">
      <c r="A213" s="5" t="s">
        <v>715</v>
      </c>
      <c r="B213" s="6" t="s">
        <v>705</v>
      </c>
      <c r="C213" s="7" t="s">
        <v>34</v>
      </c>
      <c r="D213" s="8" t="s">
        <v>706</v>
      </c>
      <c r="E213" s="2" t="s">
        <v>837</v>
      </c>
    </row>
    <row r="214" spans="1:5" x14ac:dyDescent="0.3">
      <c r="A214" s="5" t="s">
        <v>716</v>
      </c>
      <c r="B214" s="6" t="s">
        <v>717</v>
      </c>
      <c r="C214" s="7" t="s">
        <v>231</v>
      </c>
      <c r="D214" s="8" t="s">
        <v>718</v>
      </c>
      <c r="E214" s="2" t="s">
        <v>837</v>
      </c>
    </row>
    <row r="215" spans="1:5" x14ac:dyDescent="0.3">
      <c r="A215" s="5" t="s">
        <v>719</v>
      </c>
      <c r="B215" s="6" t="s">
        <v>720</v>
      </c>
      <c r="C215" s="7" t="s">
        <v>138</v>
      </c>
      <c r="D215" s="8" t="s">
        <v>721</v>
      </c>
      <c r="E215" s="2" t="s">
        <v>839</v>
      </c>
    </row>
    <row r="216" spans="1:5" x14ac:dyDescent="0.3">
      <c r="A216" s="5" t="s">
        <v>722</v>
      </c>
      <c r="B216" s="6" t="s">
        <v>717</v>
      </c>
      <c r="C216" s="7" t="s">
        <v>231</v>
      </c>
      <c r="D216" s="8" t="s">
        <v>718</v>
      </c>
      <c r="E216" s="2" t="s">
        <v>837</v>
      </c>
    </row>
    <row r="217" spans="1:5" x14ac:dyDescent="0.3">
      <c r="A217" s="5" t="s">
        <v>723</v>
      </c>
      <c r="B217" s="6" t="s">
        <v>724</v>
      </c>
      <c r="C217" s="7" t="s">
        <v>231</v>
      </c>
      <c r="D217" s="8" t="s">
        <v>725</v>
      </c>
      <c r="E217" s="2" t="s">
        <v>837</v>
      </c>
    </row>
    <row r="218" spans="1:5" x14ac:dyDescent="0.3">
      <c r="A218" s="5" t="s">
        <v>726</v>
      </c>
      <c r="B218" s="6" t="s">
        <v>727</v>
      </c>
      <c r="C218" s="7" t="s">
        <v>466</v>
      </c>
      <c r="D218" s="8" t="s">
        <v>728</v>
      </c>
      <c r="E218" s="2" t="s">
        <v>831</v>
      </c>
    </row>
    <row r="219" spans="1:5" x14ac:dyDescent="0.3">
      <c r="A219" s="5" t="s">
        <v>729</v>
      </c>
      <c r="B219" s="6" t="s">
        <v>717</v>
      </c>
      <c r="C219" s="7" t="s">
        <v>231</v>
      </c>
      <c r="D219" s="8" t="s">
        <v>718</v>
      </c>
      <c r="E219" s="2" t="s">
        <v>837</v>
      </c>
    </row>
    <row r="220" spans="1:5" x14ac:dyDescent="0.3">
      <c r="A220" s="5" t="s">
        <v>730</v>
      </c>
      <c r="B220" s="6" t="s">
        <v>731</v>
      </c>
      <c r="C220" s="7" t="s">
        <v>231</v>
      </c>
      <c r="D220" s="8" t="s">
        <v>725</v>
      </c>
      <c r="E220" s="2" t="s">
        <v>837</v>
      </c>
    </row>
    <row r="221" spans="1:5" x14ac:dyDescent="0.3">
      <c r="A221" s="5" t="s">
        <v>732</v>
      </c>
      <c r="B221" s="6" t="s">
        <v>731</v>
      </c>
      <c r="C221" s="7" t="s">
        <v>231</v>
      </c>
      <c r="D221" s="8" t="s">
        <v>725</v>
      </c>
      <c r="E221" s="2" t="s">
        <v>837</v>
      </c>
    </row>
    <row r="222" spans="1:5" x14ac:dyDescent="0.3">
      <c r="A222" s="5" t="s">
        <v>733</v>
      </c>
      <c r="B222" s="6" t="s">
        <v>734</v>
      </c>
      <c r="C222" s="7" t="s">
        <v>64</v>
      </c>
      <c r="D222" s="8" t="s">
        <v>735</v>
      </c>
      <c r="E222" s="2" t="s">
        <v>837</v>
      </c>
    </row>
    <row r="223" spans="1:5" x14ac:dyDescent="0.3">
      <c r="A223" s="5" t="s">
        <v>736</v>
      </c>
      <c r="B223" s="6" t="s">
        <v>737</v>
      </c>
      <c r="C223" s="7" t="s">
        <v>738</v>
      </c>
      <c r="D223" s="8" t="s">
        <v>739</v>
      </c>
      <c r="E223" s="2" t="s">
        <v>832</v>
      </c>
    </row>
    <row r="224" spans="1:5" x14ac:dyDescent="0.3">
      <c r="A224" s="5" t="s">
        <v>740</v>
      </c>
      <c r="B224" s="6" t="s">
        <v>741</v>
      </c>
      <c r="C224" s="7" t="s">
        <v>220</v>
      </c>
      <c r="D224" s="8" t="s">
        <v>742</v>
      </c>
      <c r="E224" s="2" t="s">
        <v>831</v>
      </c>
    </row>
    <row r="225" spans="1:5" x14ac:dyDescent="0.3">
      <c r="A225" s="5" t="s">
        <v>743</v>
      </c>
      <c r="B225" s="6" t="s">
        <v>744</v>
      </c>
      <c r="C225" s="7" t="s">
        <v>64</v>
      </c>
      <c r="D225" s="8" t="s">
        <v>745</v>
      </c>
      <c r="E225" s="2" t="s">
        <v>839</v>
      </c>
    </row>
    <row r="226" spans="1:5" x14ac:dyDescent="0.3">
      <c r="A226" s="5" t="s">
        <v>746</v>
      </c>
      <c r="B226" s="6" t="s">
        <v>747</v>
      </c>
      <c r="C226" s="7" t="s">
        <v>748</v>
      </c>
      <c r="D226" s="8" t="s">
        <v>749</v>
      </c>
      <c r="E226" s="2" t="s">
        <v>829</v>
      </c>
    </row>
    <row r="227" spans="1:5" x14ac:dyDescent="0.3">
      <c r="A227" s="5" t="s">
        <v>750</v>
      </c>
      <c r="B227" s="10" t="s">
        <v>751</v>
      </c>
      <c r="C227" s="7" t="s">
        <v>651</v>
      </c>
      <c r="D227" s="8" t="s">
        <v>752</v>
      </c>
      <c r="E227" s="2" t="s">
        <v>831</v>
      </c>
    </row>
    <row r="228" spans="1:5" x14ac:dyDescent="0.3">
      <c r="A228" s="5" t="s">
        <v>753</v>
      </c>
      <c r="B228" s="6" t="s">
        <v>754</v>
      </c>
      <c r="C228" s="7" t="s">
        <v>651</v>
      </c>
      <c r="D228" s="8" t="s">
        <v>755</v>
      </c>
      <c r="E228" s="2" t="s">
        <v>831</v>
      </c>
    </row>
    <row r="229" spans="1:5" x14ac:dyDescent="0.3">
      <c r="A229" s="5" t="s">
        <v>756</v>
      </c>
      <c r="B229" s="6" t="s">
        <v>757</v>
      </c>
      <c r="C229" s="7" t="s">
        <v>241</v>
      </c>
      <c r="D229" s="8" t="s">
        <v>758</v>
      </c>
      <c r="E229" s="2" t="s">
        <v>837</v>
      </c>
    </row>
    <row r="230" spans="1:5" x14ac:dyDescent="0.3">
      <c r="A230" s="5" t="s">
        <v>759</v>
      </c>
      <c r="B230" s="6" t="s">
        <v>760</v>
      </c>
      <c r="C230" s="7" t="s">
        <v>761</v>
      </c>
      <c r="D230" s="8" t="s">
        <v>762</v>
      </c>
      <c r="E230" s="2" t="s">
        <v>831</v>
      </c>
    </row>
    <row r="231" spans="1:5" x14ac:dyDescent="0.3">
      <c r="A231" s="5" t="s">
        <v>763</v>
      </c>
      <c r="B231" s="6" t="s">
        <v>764</v>
      </c>
      <c r="C231" s="7" t="s">
        <v>22</v>
      </c>
      <c r="D231" s="8" t="s">
        <v>765</v>
      </c>
      <c r="E231" s="2" t="s">
        <v>830</v>
      </c>
    </row>
    <row r="232" spans="1:5" x14ac:dyDescent="0.3">
      <c r="A232" s="5" t="s">
        <v>766</v>
      </c>
      <c r="B232" s="6" t="s">
        <v>767</v>
      </c>
      <c r="C232" s="7" t="s">
        <v>130</v>
      </c>
      <c r="D232" s="8" t="s">
        <v>768</v>
      </c>
      <c r="E232" s="2" t="s">
        <v>839</v>
      </c>
    </row>
    <row r="233" spans="1:5" x14ac:dyDescent="0.3">
      <c r="A233" s="5" t="s">
        <v>769</v>
      </c>
      <c r="B233" s="6" t="s">
        <v>770</v>
      </c>
      <c r="C233" s="7" t="s">
        <v>651</v>
      </c>
      <c r="D233" s="8" t="s">
        <v>771</v>
      </c>
      <c r="E233" s="2" t="s">
        <v>831</v>
      </c>
    </row>
    <row r="234" spans="1:5" x14ac:dyDescent="0.3">
      <c r="A234" s="5" t="s">
        <v>772</v>
      </c>
      <c r="B234" s="6" t="s">
        <v>773</v>
      </c>
      <c r="C234" s="7" t="s">
        <v>259</v>
      </c>
      <c r="D234" s="8" t="s">
        <v>774</v>
      </c>
      <c r="E234" s="2" t="s">
        <v>831</v>
      </c>
    </row>
    <row r="235" spans="1:5" x14ac:dyDescent="0.3">
      <c r="A235" s="5" t="s">
        <v>775</v>
      </c>
      <c r="B235" s="6" t="s">
        <v>776</v>
      </c>
      <c r="C235" s="7" t="s">
        <v>64</v>
      </c>
      <c r="D235" s="8" t="s">
        <v>777</v>
      </c>
      <c r="E235" s="2" t="s">
        <v>833</v>
      </c>
    </row>
    <row r="236" spans="1:5" x14ac:dyDescent="0.3">
      <c r="A236" s="5" t="s">
        <v>778</v>
      </c>
      <c r="B236" s="6" t="s">
        <v>779</v>
      </c>
      <c r="C236" s="7" t="s">
        <v>231</v>
      </c>
      <c r="D236" s="8" t="s">
        <v>780</v>
      </c>
      <c r="E236" s="2" t="s">
        <v>837</v>
      </c>
    </row>
    <row r="237" spans="1:5" x14ac:dyDescent="0.3">
      <c r="A237" s="5" t="s">
        <v>781</v>
      </c>
      <c r="B237" s="6" t="s">
        <v>782</v>
      </c>
      <c r="C237" s="7" t="s">
        <v>419</v>
      </c>
      <c r="D237" s="8" t="s">
        <v>783</v>
      </c>
      <c r="E237" s="2" t="s">
        <v>829</v>
      </c>
    </row>
    <row r="238" spans="1:5" x14ac:dyDescent="0.3">
      <c r="A238" s="5" t="s">
        <v>784</v>
      </c>
      <c r="B238" s="6" t="s">
        <v>779</v>
      </c>
      <c r="C238" s="7" t="s">
        <v>231</v>
      </c>
      <c r="D238" s="8" t="s">
        <v>780</v>
      </c>
      <c r="E238" s="2" t="s">
        <v>837</v>
      </c>
    </row>
    <row r="239" spans="1:5" x14ac:dyDescent="0.3">
      <c r="A239" s="5" t="s">
        <v>785</v>
      </c>
      <c r="B239" s="6" t="s">
        <v>779</v>
      </c>
      <c r="C239" s="7" t="s">
        <v>231</v>
      </c>
      <c r="D239" s="8" t="s">
        <v>780</v>
      </c>
      <c r="E239" s="2" t="s">
        <v>837</v>
      </c>
    </row>
    <row r="240" spans="1:5" x14ac:dyDescent="0.3">
      <c r="A240" s="5" t="s">
        <v>786</v>
      </c>
      <c r="B240" s="6" t="s">
        <v>787</v>
      </c>
      <c r="C240" s="7" t="s">
        <v>788</v>
      </c>
      <c r="D240" s="8" t="s">
        <v>789</v>
      </c>
      <c r="E240" s="2" t="s">
        <v>833</v>
      </c>
    </row>
    <row r="241" spans="1:5" x14ac:dyDescent="0.3">
      <c r="A241" s="5" t="s">
        <v>790</v>
      </c>
      <c r="B241" s="6" t="s">
        <v>791</v>
      </c>
      <c r="C241" s="7" t="s">
        <v>788</v>
      </c>
      <c r="D241" s="8" t="s">
        <v>789</v>
      </c>
      <c r="E241" s="2" t="s">
        <v>833</v>
      </c>
    </row>
    <row r="242" spans="1:5" x14ac:dyDescent="0.3">
      <c r="A242" s="5" t="s">
        <v>792</v>
      </c>
      <c r="B242" s="6" t="s">
        <v>793</v>
      </c>
      <c r="C242" s="7" t="s">
        <v>794</v>
      </c>
      <c r="D242" s="8" t="s">
        <v>795</v>
      </c>
      <c r="E242" s="2" t="s">
        <v>829</v>
      </c>
    </row>
    <row r="243" spans="1:5" x14ac:dyDescent="0.3">
      <c r="A243" s="5" t="s">
        <v>796</v>
      </c>
      <c r="B243" s="6" t="s">
        <v>787</v>
      </c>
      <c r="C243" s="7" t="s">
        <v>788</v>
      </c>
      <c r="D243" s="8" t="s">
        <v>789</v>
      </c>
      <c r="E243" s="2" t="s">
        <v>833</v>
      </c>
    </row>
    <row r="244" spans="1:5" x14ac:dyDescent="0.3">
      <c r="A244" s="5" t="s">
        <v>797</v>
      </c>
      <c r="B244" s="6" t="s">
        <v>798</v>
      </c>
      <c r="C244" s="7" t="s">
        <v>384</v>
      </c>
      <c r="D244" s="8" t="s">
        <v>799</v>
      </c>
      <c r="E244" s="2" t="s">
        <v>837</v>
      </c>
    </row>
    <row r="245" spans="1:5" x14ac:dyDescent="0.3">
      <c r="A245" s="5" t="s">
        <v>800</v>
      </c>
      <c r="B245" s="6" t="s">
        <v>801</v>
      </c>
      <c r="C245" s="7" t="s">
        <v>241</v>
      </c>
      <c r="D245" s="8" t="s">
        <v>802</v>
      </c>
      <c r="E245" s="2" t="s">
        <v>833</v>
      </c>
    </row>
    <row r="246" spans="1:5" x14ac:dyDescent="0.3">
      <c r="A246" s="5" t="s">
        <v>803</v>
      </c>
      <c r="B246" s="6" t="s">
        <v>804</v>
      </c>
      <c r="C246" s="7" t="s">
        <v>805</v>
      </c>
      <c r="D246" s="8" t="s">
        <v>806</v>
      </c>
      <c r="E246" s="2" t="s">
        <v>839</v>
      </c>
    </row>
    <row r="247" spans="1:5" x14ac:dyDescent="0.3">
      <c r="A247" s="5" t="s">
        <v>807</v>
      </c>
      <c r="B247" s="6" t="s">
        <v>808</v>
      </c>
      <c r="C247" s="7" t="s">
        <v>231</v>
      </c>
      <c r="D247" s="8" t="s">
        <v>809</v>
      </c>
      <c r="E247" s="2" t="s">
        <v>838</v>
      </c>
    </row>
    <row r="248" spans="1:5" x14ac:dyDescent="0.3">
      <c r="A248" s="5" t="s">
        <v>810</v>
      </c>
      <c r="B248" s="6" t="s">
        <v>811</v>
      </c>
      <c r="C248" s="7" t="s">
        <v>64</v>
      </c>
      <c r="D248" s="8" t="s">
        <v>812</v>
      </c>
      <c r="E248" s="2" t="s">
        <v>837</v>
      </c>
    </row>
    <row r="249" spans="1:5" x14ac:dyDescent="0.3">
      <c r="A249" s="5" t="s">
        <v>813</v>
      </c>
      <c r="B249" s="6" t="s">
        <v>814</v>
      </c>
      <c r="C249" s="7" t="s">
        <v>815</v>
      </c>
      <c r="D249" s="8" t="s">
        <v>816</v>
      </c>
      <c r="E249" s="2" t="s">
        <v>830</v>
      </c>
    </row>
    <row r="250" spans="1:5" x14ac:dyDescent="0.3">
      <c r="A250" s="5" t="s">
        <v>817</v>
      </c>
      <c r="B250" s="6" t="s">
        <v>818</v>
      </c>
      <c r="C250" s="7" t="s">
        <v>241</v>
      </c>
      <c r="D250" s="8" t="s">
        <v>819</v>
      </c>
      <c r="E250" s="2" t="s">
        <v>837</v>
      </c>
    </row>
    <row r="251" spans="1:5" x14ac:dyDescent="0.3">
      <c r="A251" s="5" t="s">
        <v>820</v>
      </c>
      <c r="B251" s="6" t="s">
        <v>821</v>
      </c>
      <c r="C251" s="7" t="s">
        <v>64</v>
      </c>
      <c r="D251" s="8" t="s">
        <v>822</v>
      </c>
      <c r="E251" s="2" t="s">
        <v>832</v>
      </c>
    </row>
    <row r="252" spans="1:5" x14ac:dyDescent="0.3">
      <c r="A252" s="5" t="s">
        <v>823</v>
      </c>
      <c r="B252" s="6" t="s">
        <v>824</v>
      </c>
      <c r="C252" s="7" t="s">
        <v>34</v>
      </c>
      <c r="D252" s="8" t="s">
        <v>825</v>
      </c>
      <c r="E252" s="2" t="s">
        <v>829</v>
      </c>
    </row>
    <row r="253" spans="1:5" x14ac:dyDescent="0.3">
      <c r="A253" s="5" t="s">
        <v>826</v>
      </c>
      <c r="B253" s="6" t="s">
        <v>827</v>
      </c>
      <c r="C253" s="7" t="s">
        <v>64</v>
      </c>
      <c r="D253" s="8" t="s">
        <v>828</v>
      </c>
      <c r="E253" s="2" t="s">
        <v>832</v>
      </c>
    </row>
  </sheetData>
  <phoneticPr fontId="5" type="noConversion"/>
  <pageMargins left="0.70866141732283472" right="0.70866141732283472" top="0.74803149606299213" bottom="0.74803149606299213" header="0.31496062992125984" footer="0.31496062992125984"/>
  <pageSetup paperSize="9" scale="17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A318C78-2A18-4B09-BB6E-74B2438348E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Munka1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Rebeka Keserű</dc:creator>
  <cp:lastModifiedBy>Rebeka Keserű</cp:lastModifiedBy>
  <cp:lastPrinted>2025-01-12T11:20:04Z</cp:lastPrinted>
  <dcterms:created xsi:type="dcterms:W3CDTF">2024-12-01T10:28:41Z</dcterms:created>
  <dcterms:modified xsi:type="dcterms:W3CDTF">2026-03-28T00:07:21Z</dcterms:modified>
</cp:coreProperties>
</file>