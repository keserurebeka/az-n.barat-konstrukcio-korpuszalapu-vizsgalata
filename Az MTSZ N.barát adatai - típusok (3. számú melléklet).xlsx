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ser\OneDrive\Dokumentumok\elte\otdk\"/>
    </mc:Choice>
  </mc:AlternateContent>
  <xr:revisionPtr revIDLastSave="0" documentId="13_ncr:1_{83F494E9-4D58-4334-9E3C-B4C2984AB791}" xr6:coauthVersionLast="47" xr6:coauthVersionMax="47" xr10:uidLastSave="{00000000-0000-0000-0000-000000000000}"/>
  <bookViews>
    <workbookView xWindow="-108" yWindow="-108" windowWidth="23256" windowHeight="12456" xr2:uid="{421F457B-098D-43E6-8C6E-C93D3F9DB065}"/>
  </bookViews>
  <sheets>
    <sheet name="Munka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3" l="1"/>
  <c r="J7" i="3"/>
  <c r="K7" i="3" s="1"/>
  <c r="J4" i="3"/>
  <c r="O17" i="3"/>
  <c r="O16" i="3"/>
  <c r="O15" i="3"/>
  <c r="P15" i="3" s="1"/>
  <c r="O14" i="3"/>
  <c r="O13" i="3"/>
  <c r="O12" i="3"/>
  <c r="O11" i="3"/>
  <c r="P11" i="3" s="1"/>
  <c r="O10" i="3"/>
  <c r="O9" i="3"/>
  <c r="O8" i="3"/>
  <c r="O7" i="3"/>
  <c r="P7" i="3" s="1"/>
  <c r="O6" i="3"/>
  <c r="O5" i="3"/>
  <c r="O4" i="3"/>
  <c r="J21" i="3"/>
  <c r="K21" i="3" s="1"/>
  <c r="J20" i="3"/>
  <c r="J19" i="3"/>
  <c r="K19" i="3" s="1"/>
  <c r="J15" i="3"/>
  <c r="J14" i="3"/>
  <c r="J13" i="3"/>
  <c r="J12" i="3"/>
  <c r="J8" i="3"/>
  <c r="K8" i="3" s="1"/>
  <c r="P4" i="3" l="1"/>
  <c r="P8" i="3"/>
  <c r="P12" i="3"/>
  <c r="P16" i="3"/>
  <c r="P9" i="3"/>
  <c r="P13" i="3"/>
  <c r="P17" i="3"/>
  <c r="P5" i="3"/>
  <c r="K20" i="3"/>
  <c r="P6" i="3"/>
  <c r="P10" i="3"/>
  <c r="P14" i="3"/>
  <c r="P20" i="3"/>
  <c r="K12" i="3"/>
  <c r="K13" i="3"/>
  <c r="K15" i="3"/>
  <c r="K14" i="3"/>
</calcChain>
</file>

<file path=xl/sharedStrings.xml><?xml version="1.0" encoding="utf-8"?>
<sst xmlns="http://schemas.openxmlformats.org/spreadsheetml/2006/main" count="281" uniqueCount="157">
  <si>
    <t>rabárbarát</t>
  </si>
  <si>
    <t>rabarbarát</t>
  </si>
  <si>
    <t>jóbarát</t>
  </si>
  <si>
    <t>rhabarbarát</t>
  </si>
  <si>
    <t>eſzemiſzom-barát</t>
  </si>
  <si>
    <t>barbarát</t>
  </si>
  <si>
    <t>felebarát</t>
  </si>
  <si>
    <t>hanga-barát</t>
  </si>
  <si>
    <t>emberbarát</t>
  </si>
  <si>
    <t>ál-barát</t>
  </si>
  <si>
    <t>borbarát</t>
  </si>
  <si>
    <t>álbarát</t>
  </si>
  <si>
    <t>zenebarát</t>
  </si>
  <si>
    <t>műbarát</t>
  </si>
  <si>
    <t>népbarát</t>
  </si>
  <si>
    <t>iparügy-barát</t>
  </si>
  <si>
    <t>házibarát</t>
  </si>
  <si>
    <t>világbarát</t>
  </si>
  <si>
    <t>kertbarát</t>
  </si>
  <si>
    <t>őrbarát</t>
  </si>
  <si>
    <t>házbarát</t>
  </si>
  <si>
    <t>mübarát</t>
  </si>
  <si>
    <t>rebarbarát</t>
  </si>
  <si>
    <t>kebelbarát</t>
  </si>
  <si>
    <t>ügybarát</t>
  </si>
  <si>
    <t>rhebarbarát</t>
  </si>
  <si>
    <t>szerb-barát</t>
  </si>
  <si>
    <t>gyermekbarát</t>
  </si>
  <si>
    <t>koldulóbarát</t>
  </si>
  <si>
    <t>asszonybarát</t>
  </si>
  <si>
    <t>dohánybarát</t>
  </si>
  <si>
    <t>művészetbarát</t>
  </si>
  <si>
    <t>németbarát</t>
  </si>
  <si>
    <t>férfibarát</t>
  </si>
  <si>
    <t>turfbarát</t>
  </si>
  <si>
    <t>német-barát</t>
  </si>
  <si>
    <t>angolbarát</t>
  </si>
  <si>
    <t>szerbbarát</t>
  </si>
  <si>
    <t>irodalombarát</t>
  </si>
  <si>
    <t>bara-barát</t>
  </si>
  <si>
    <t>természetbarát</t>
  </si>
  <si>
    <t>kutyabarát</t>
  </si>
  <si>
    <t>magyar-barát</t>
  </si>
  <si>
    <t>náci-barát</t>
  </si>
  <si>
    <t>magyarbarát</t>
  </si>
  <si>
    <t>oroszbarát</t>
  </si>
  <si>
    <t>nőbarát</t>
  </si>
  <si>
    <t>kormány-barát</t>
  </si>
  <si>
    <t>állatbarát</t>
  </si>
  <si>
    <t>diáklány-barát</t>
  </si>
  <si>
    <t>szovjetbarát</t>
  </si>
  <si>
    <t>fél-barát</t>
  </si>
  <si>
    <t>szovjet-barát</t>
  </si>
  <si>
    <t>könyvbarát</t>
  </si>
  <si>
    <t>osztrákbarát</t>
  </si>
  <si>
    <t>franciabarát</t>
  </si>
  <si>
    <t>munkásbarát</t>
  </si>
  <si>
    <t>művész-barát</t>
  </si>
  <si>
    <t>operabarát</t>
  </si>
  <si>
    <t>nácibarát</t>
  </si>
  <si>
    <t>antant-barát</t>
  </si>
  <si>
    <t>katonabarát</t>
  </si>
  <si>
    <t>lengyelbarát</t>
  </si>
  <si>
    <t>makedónbarát</t>
  </si>
  <si>
    <t>fasisztabarát</t>
  </si>
  <si>
    <t>reformbarát</t>
  </si>
  <si>
    <t>környezetbarát</t>
  </si>
  <si>
    <t>görögbarát</t>
  </si>
  <si>
    <t>filmbarát</t>
  </si>
  <si>
    <t>vállalkozásbarát</t>
  </si>
  <si>
    <t>sakkbarát</t>
  </si>
  <si>
    <t>kommunistabarát</t>
  </si>
  <si>
    <t>palesztinbarát</t>
  </si>
  <si>
    <t>kereszténybarát</t>
  </si>
  <si>
    <t>felhasználóbarát</t>
  </si>
  <si>
    <t>biobarát</t>
  </si>
  <si>
    <t>ügyfélbarát</t>
  </si>
  <si>
    <t>nézőbarát</t>
  </si>
  <si>
    <t>növekedésbarát</t>
  </si>
  <si>
    <t>jugoszlávbarát</t>
  </si>
  <si>
    <t>rossz</t>
  </si>
  <si>
    <t>jó:</t>
  </si>
  <si>
    <t>rossz:</t>
  </si>
  <si>
    <t>főnévi alaptag/utótag</t>
  </si>
  <si>
    <t>tárgyragos alak</t>
  </si>
  <si>
    <t>eltérő jelentés</t>
  </si>
  <si>
    <t>eltérő jelentés:</t>
  </si>
  <si>
    <t>tárgyragos alak:</t>
  </si>
  <si>
    <t>főnévi alaptag/utótag:</t>
  </si>
  <si>
    <t>értelmezhetetlen:</t>
  </si>
  <si>
    <t>értelmezhetetlen</t>
  </si>
  <si>
    <t>adat</t>
  </si>
  <si>
    <t>megfelelőség</t>
  </si>
  <si>
    <t>kizárás oka</t>
  </si>
  <si>
    <t>Paradis ontológiák</t>
  </si>
  <si>
    <t>kritérium</t>
  </si>
  <si>
    <t>darabszám</t>
  </si>
  <si>
    <t>arány</t>
  </si>
  <si>
    <t>összes</t>
  </si>
  <si>
    <t>human</t>
  </si>
  <si>
    <t>artefact</t>
  </si>
  <si>
    <t>cultural o/p</t>
  </si>
  <si>
    <t>institution-like social structures</t>
  </si>
  <si>
    <t>natural o/p</t>
  </si>
  <si>
    <t>location</t>
  </si>
  <si>
    <t>other abstract 2</t>
  </si>
  <si>
    <t>state</t>
  </si>
  <si>
    <t>event</t>
  </si>
  <si>
    <t>animal</t>
  </si>
  <si>
    <t>human:</t>
  </si>
  <si>
    <t>animal:</t>
  </si>
  <si>
    <t>natural o/p:</t>
  </si>
  <si>
    <t>artefact:</t>
  </si>
  <si>
    <t>cultural o/p:</t>
  </si>
  <si>
    <t>institution-like social structures:</t>
  </si>
  <si>
    <t>event:</t>
  </si>
  <si>
    <t>other abstract 1:</t>
  </si>
  <si>
    <t>other abstract 2:</t>
  </si>
  <si>
    <t>state:</t>
  </si>
  <si>
    <t>process:</t>
  </si>
  <si>
    <t>location:</t>
  </si>
  <si>
    <t>ability:</t>
  </si>
  <si>
    <t>schematic entities:</t>
  </si>
  <si>
    <t>process</t>
  </si>
  <si>
    <t>other abstract 1</t>
  </si>
  <si>
    <t>előfordulás</t>
  </si>
  <si>
    <t>jános-barát</t>
  </si>
  <si>
    <t>vietnam-barát</t>
  </si>
  <si>
    <t>szürkebarát</t>
  </si>
  <si>
    <t>kína-barát</t>
  </si>
  <si>
    <t>amerikabarát</t>
  </si>
  <si>
    <t>„családbarát</t>
  </si>
  <si>
    <t>ásványbarát</t>
  </si>
  <si>
    <t>zsido-barát</t>
  </si>
  <si>
    <t>szeretőbarát</t>
  </si>
  <si>
    <t>róma-barát</t>
  </si>
  <si>
    <t>pálos-barát</t>
  </si>
  <si>
    <t>oroszország-barát</t>
  </si>
  <si>
    <t>növénybarát</t>
  </si>
  <si>
    <t>marhabarát</t>
  </si>
  <si>
    <t>jövőbarát</t>
  </si>
  <si>
    <t>hubarát</t>
  </si>
  <si>
    <t>hitler-barát</t>
  </si>
  <si>
    <t>hites-barát</t>
  </si>
  <si>
    <t>habsburg-barát</t>
  </si>
  <si>
    <t>győrújbarát</t>
  </si>
  <si>
    <t>gyümölcsbarát</t>
  </si>
  <si>
    <t>ember-barát</t>
  </si>
  <si>
    <t>díszmadárbarát</t>
  </si>
  <si>
    <t>dreyfus-barát</t>
  </si>
  <si>
    <t>betegbarát</t>
  </si>
  <si>
    <t>ady-barát</t>
  </si>
  <si>
    <t>bővített ontológiai kategóriák</t>
  </si>
  <si>
    <t>értéktartalom</t>
  </si>
  <si>
    <t>negatív</t>
  </si>
  <si>
    <t>negatív értéktartalom:</t>
  </si>
  <si>
    <r>
      <t>Az MTSZ N.</t>
    </r>
    <r>
      <rPr>
        <i/>
        <sz val="18"/>
        <color theme="1"/>
        <rFont val="Aptos Narrow"/>
        <family val="2"/>
        <scheme val="minor"/>
      </rPr>
      <t xml:space="preserve">barát </t>
    </r>
    <r>
      <rPr>
        <sz val="18"/>
        <color theme="1"/>
        <rFont val="Aptos Narrow"/>
        <family val="2"/>
        <scheme val="minor"/>
      </rPr>
      <t>adatai - típusok (3. számú melléklet)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</si>
</sst>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1"/>
      <name val="Aptos Narrow"/>
      <family val="2"/>
      <scheme val="minor"/>
    </font>
    <font>
      <i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1" applyNumberFormat="1" applyFont="1" applyBorder="1"/>
    <xf numFmtId="0" fontId="2" fillId="0" borderId="0" xfId="0" applyFont="1"/>
    <xf numFmtId="0" fontId="2" fillId="0" borderId="0" xfId="0" applyFont="1" applyAlignment="1">
      <alignment vertic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C14AE-2BCA-4249-AC47-1994B3CD0C78}">
  <sheetPr>
    <pageSetUpPr fitToPage="1"/>
  </sheetPr>
  <dimension ref="A1:P109"/>
  <sheetViews>
    <sheetView tabSelected="1" zoomScaleNormal="100" workbookViewId="0">
      <selection activeCell="F1" sqref="F1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11.6640625" bestFit="1" customWidth="1"/>
    <col min="4" max="4" width="17.88671875" bestFit="1" customWidth="1"/>
    <col min="5" max="5" width="15.77734375" bestFit="1" customWidth="1"/>
    <col min="6" max="6" width="26.44140625" bestFit="1" customWidth="1"/>
    <col min="7" max="7" width="15.109375" customWidth="1"/>
    <col min="8" max="8" width="16" customWidth="1"/>
    <col min="9" max="9" width="27" bestFit="1" customWidth="1"/>
    <col min="10" max="10" width="9.88671875" bestFit="1" customWidth="1"/>
    <col min="13" max="13" width="10.33203125" customWidth="1"/>
    <col min="14" max="14" width="27.6640625" bestFit="1" customWidth="1"/>
    <col min="15" max="15" width="9.88671875" bestFit="1" customWidth="1"/>
  </cols>
  <sheetData>
    <row r="1" spans="1:16" ht="31.2" customHeight="1" x14ac:dyDescent="0.3">
      <c r="A1" s="5" t="s">
        <v>156</v>
      </c>
    </row>
    <row r="2" spans="1:16" ht="16.2" customHeight="1" x14ac:dyDescent="0.45">
      <c r="A2" s="4"/>
    </row>
    <row r="3" spans="1:16" s="1" customFormat="1" ht="29.4" customHeight="1" x14ac:dyDescent="0.3">
      <c r="A3" s="1" t="s">
        <v>91</v>
      </c>
      <c r="B3" s="1" t="s">
        <v>125</v>
      </c>
      <c r="C3" s="1" t="s">
        <v>92</v>
      </c>
      <c r="D3" s="1" t="s">
        <v>93</v>
      </c>
      <c r="E3" s="1" t="s">
        <v>94</v>
      </c>
      <c r="F3" s="1" t="s">
        <v>152</v>
      </c>
      <c r="G3" s="1" t="s">
        <v>153</v>
      </c>
      <c r="I3" s="1" t="s">
        <v>95</v>
      </c>
      <c r="J3" s="1" t="s">
        <v>96</v>
      </c>
      <c r="K3" s="1" t="s">
        <v>97</v>
      </c>
      <c r="N3" s="1" t="s">
        <v>95</v>
      </c>
      <c r="O3" s="1" t="s">
        <v>96</v>
      </c>
      <c r="P3" s="1" t="s">
        <v>97</v>
      </c>
    </row>
    <row r="4" spans="1:16" x14ac:dyDescent="0.3">
      <c r="A4" t="s">
        <v>2</v>
      </c>
      <c r="B4">
        <v>71</v>
      </c>
      <c r="C4" t="s">
        <v>80</v>
      </c>
      <c r="D4" t="s">
        <v>83</v>
      </c>
      <c r="I4" t="s">
        <v>98</v>
      </c>
      <c r="J4">
        <f>COUNTA(B4:B109)</f>
        <v>106</v>
      </c>
      <c r="N4" t="s">
        <v>109</v>
      </c>
      <c r="O4">
        <f>COUNTIF(F:F,"human")</f>
        <v>13</v>
      </c>
      <c r="P4" s="3">
        <f>O4/J7</f>
        <v>0.17333333333333334</v>
      </c>
    </row>
    <row r="5" spans="1:16" x14ac:dyDescent="0.3">
      <c r="A5" t="s">
        <v>8</v>
      </c>
      <c r="B5">
        <v>23</v>
      </c>
      <c r="E5">
        <v>1</v>
      </c>
      <c r="F5" t="s">
        <v>99</v>
      </c>
      <c r="N5" t="s">
        <v>110</v>
      </c>
      <c r="O5">
        <f>COUNTIF(F:F,"animal")</f>
        <v>4</v>
      </c>
      <c r="P5" s="3">
        <f>O5/J7</f>
        <v>5.3333333333333337E-2</v>
      </c>
    </row>
    <row r="6" spans="1:16" x14ac:dyDescent="0.3">
      <c r="A6" t="s">
        <v>32</v>
      </c>
      <c r="B6">
        <v>17</v>
      </c>
      <c r="E6">
        <v>2</v>
      </c>
      <c r="F6" t="s">
        <v>106</v>
      </c>
      <c r="N6" t="s">
        <v>111</v>
      </c>
      <c r="O6">
        <f>COUNTIF(F:F,"natural o/p")</f>
        <v>4</v>
      </c>
      <c r="P6" s="3">
        <f>O6/J7</f>
        <v>5.3333333333333337E-2</v>
      </c>
    </row>
    <row r="7" spans="1:16" x14ac:dyDescent="0.3">
      <c r="A7" t="s">
        <v>14</v>
      </c>
      <c r="B7">
        <v>16</v>
      </c>
      <c r="E7">
        <v>3</v>
      </c>
      <c r="F7" t="s">
        <v>102</v>
      </c>
      <c r="I7" t="s">
        <v>81</v>
      </c>
      <c r="J7">
        <f>COUNTBLANK(C4:C109)</f>
        <v>75</v>
      </c>
      <c r="K7" s="3">
        <f>J7/J4</f>
        <v>0.70754716981132071</v>
      </c>
      <c r="N7" t="s">
        <v>112</v>
      </c>
      <c r="O7">
        <f>COUNTIF(F:F,"artefact")</f>
        <v>3</v>
      </c>
      <c r="P7" s="3">
        <f>O7/J7</f>
        <v>0.04</v>
      </c>
    </row>
    <row r="8" spans="1:16" x14ac:dyDescent="0.3">
      <c r="A8" t="s">
        <v>6</v>
      </c>
      <c r="B8">
        <v>16</v>
      </c>
      <c r="C8" t="s">
        <v>80</v>
      </c>
      <c r="D8" t="s">
        <v>83</v>
      </c>
      <c r="I8" t="s">
        <v>82</v>
      </c>
      <c r="J8">
        <f>COUNTIF(C:C,"rossz")</f>
        <v>31</v>
      </c>
      <c r="K8" s="3">
        <f>J8/J4</f>
        <v>0.29245283018867924</v>
      </c>
      <c r="N8" t="s">
        <v>113</v>
      </c>
      <c r="O8">
        <f>COUNTIF(F:F,"cultural o/p")</f>
        <v>8</v>
      </c>
      <c r="P8" s="3">
        <f>O8/J7</f>
        <v>0.10666666666666667</v>
      </c>
    </row>
    <row r="9" spans="1:16" x14ac:dyDescent="0.3">
      <c r="A9" t="s">
        <v>126</v>
      </c>
      <c r="B9">
        <v>15</v>
      </c>
      <c r="C9" t="s">
        <v>80</v>
      </c>
      <c r="D9" t="s">
        <v>85</v>
      </c>
      <c r="N9" t="s">
        <v>114</v>
      </c>
      <c r="O9">
        <f>COUNTIF(F:F,"institution-like social structures")</f>
        <v>4</v>
      </c>
      <c r="P9" s="3">
        <f>O9/J7</f>
        <v>5.3333333333333337E-2</v>
      </c>
    </row>
    <row r="10" spans="1:16" x14ac:dyDescent="0.3">
      <c r="A10" t="s">
        <v>16</v>
      </c>
      <c r="B10">
        <v>11</v>
      </c>
      <c r="C10" t="s">
        <v>80</v>
      </c>
      <c r="D10" t="s">
        <v>83</v>
      </c>
      <c r="N10" t="s">
        <v>115</v>
      </c>
      <c r="O10">
        <f>COUNTIF(F:F,"event")</f>
        <v>1</v>
      </c>
      <c r="P10" s="3">
        <f>O10/J7</f>
        <v>1.3333333333333334E-2</v>
      </c>
    </row>
    <row r="11" spans="1:16" x14ac:dyDescent="0.3">
      <c r="A11" t="s">
        <v>62</v>
      </c>
      <c r="B11">
        <v>10</v>
      </c>
      <c r="E11">
        <v>2</v>
      </c>
      <c r="F11" t="s">
        <v>106</v>
      </c>
      <c r="N11" t="s">
        <v>116</v>
      </c>
      <c r="O11">
        <f>COUNTIF(F:F,"other abstract 1")</f>
        <v>2</v>
      </c>
      <c r="P11" s="3">
        <f>O11/J7</f>
        <v>2.6666666666666668E-2</v>
      </c>
    </row>
    <row r="12" spans="1:16" x14ac:dyDescent="0.3">
      <c r="A12" t="s">
        <v>22</v>
      </c>
      <c r="B12">
        <v>9</v>
      </c>
      <c r="C12" t="s">
        <v>80</v>
      </c>
      <c r="D12" t="s">
        <v>84</v>
      </c>
      <c r="I12" t="s">
        <v>86</v>
      </c>
      <c r="J12">
        <f>COUNTIF(D:D,"eltérő jelentés")</f>
        <v>9</v>
      </c>
      <c r="K12" s="3">
        <f>J12/J8</f>
        <v>0.29032258064516131</v>
      </c>
      <c r="N12" t="s">
        <v>117</v>
      </c>
      <c r="O12">
        <f>COUNTIF(F:F,"other abstract 2")</f>
        <v>6</v>
      </c>
      <c r="P12" s="3">
        <f>O12/J7</f>
        <v>0.08</v>
      </c>
    </row>
    <row r="13" spans="1:16" x14ac:dyDescent="0.3">
      <c r="A13" t="s">
        <v>12</v>
      </c>
      <c r="B13">
        <v>8</v>
      </c>
      <c r="E13">
        <v>3</v>
      </c>
      <c r="F13" t="s">
        <v>101</v>
      </c>
      <c r="I13" t="s">
        <v>87</v>
      </c>
      <c r="J13">
        <f>COUNTIF(D:D,"tárgyragos alak")</f>
        <v>8</v>
      </c>
      <c r="K13" s="3">
        <f>J13/J8</f>
        <v>0.25806451612903225</v>
      </c>
      <c r="N13" t="s">
        <v>118</v>
      </c>
      <c r="O13">
        <f>COUNTIF(F:F,"state")</f>
        <v>23</v>
      </c>
      <c r="P13" s="3">
        <f>O13/J7</f>
        <v>0.30666666666666664</v>
      </c>
    </row>
    <row r="14" spans="1:16" x14ac:dyDescent="0.3">
      <c r="A14" t="s">
        <v>38</v>
      </c>
      <c r="B14">
        <v>8</v>
      </c>
      <c r="E14">
        <v>3</v>
      </c>
      <c r="F14" t="s">
        <v>101</v>
      </c>
      <c r="I14" t="s">
        <v>88</v>
      </c>
      <c r="J14">
        <f>COUNTIF(D:D,"főnévi alaptag/utótag")</f>
        <v>13</v>
      </c>
      <c r="K14" s="3">
        <f>J14/J8</f>
        <v>0.41935483870967744</v>
      </c>
      <c r="N14" t="s">
        <v>119</v>
      </c>
      <c r="O14">
        <f>COUNTIF(F:F,"process")</f>
        <v>2</v>
      </c>
      <c r="P14" s="3">
        <f>O14/J7</f>
        <v>2.6666666666666668E-2</v>
      </c>
    </row>
    <row r="15" spans="1:16" x14ac:dyDescent="0.3">
      <c r="A15" t="s">
        <v>50</v>
      </c>
      <c r="B15">
        <v>7</v>
      </c>
      <c r="E15">
        <v>2</v>
      </c>
      <c r="F15" t="s">
        <v>106</v>
      </c>
      <c r="I15" t="s">
        <v>89</v>
      </c>
      <c r="J15">
        <f>COUNTIF(D:D,"értelmezhetetlen")</f>
        <v>1</v>
      </c>
      <c r="K15" s="3">
        <f>J15/J8</f>
        <v>3.2258064516129031E-2</v>
      </c>
      <c r="N15" t="s">
        <v>120</v>
      </c>
      <c r="O15">
        <f>COUNTIF(F:F,"location")</f>
        <v>5</v>
      </c>
      <c r="P15" s="3">
        <f>O15/J7</f>
        <v>6.6666666666666666E-2</v>
      </c>
    </row>
    <row r="16" spans="1:16" x14ac:dyDescent="0.3">
      <c r="A16" t="s">
        <v>13</v>
      </c>
      <c r="B16">
        <v>7</v>
      </c>
      <c r="E16">
        <v>3</v>
      </c>
      <c r="F16" t="s">
        <v>101</v>
      </c>
      <c r="N16" t="s">
        <v>121</v>
      </c>
      <c r="O16">
        <f>COUNTIF(F:F,"ability")</f>
        <v>0</v>
      </c>
      <c r="P16" s="3">
        <f>O16/J7</f>
        <v>0</v>
      </c>
    </row>
    <row r="17" spans="1:16" x14ac:dyDescent="0.3">
      <c r="A17" t="s">
        <v>40</v>
      </c>
      <c r="B17">
        <v>6</v>
      </c>
      <c r="E17">
        <v>3</v>
      </c>
      <c r="F17" t="s">
        <v>103</v>
      </c>
      <c r="N17" t="s">
        <v>122</v>
      </c>
      <c r="O17">
        <f>COUNTIF(F:F,"shematic entities")</f>
        <v>0</v>
      </c>
      <c r="P17" s="3">
        <f>O17/J7</f>
        <v>0</v>
      </c>
    </row>
    <row r="18" spans="1:16" x14ac:dyDescent="0.3">
      <c r="A18" t="s">
        <v>45</v>
      </c>
      <c r="B18">
        <v>6</v>
      </c>
      <c r="E18">
        <v>2</v>
      </c>
      <c r="F18" t="s">
        <v>106</v>
      </c>
    </row>
    <row r="19" spans="1:16" x14ac:dyDescent="0.3">
      <c r="A19" t="s">
        <v>11</v>
      </c>
      <c r="B19">
        <v>4</v>
      </c>
      <c r="C19" t="s">
        <v>80</v>
      </c>
      <c r="D19" t="s">
        <v>83</v>
      </c>
      <c r="I19" s="2">
        <v>1</v>
      </c>
      <c r="J19">
        <f>COUNTIF(E:E,1)</f>
        <v>28</v>
      </c>
      <c r="K19" s="3">
        <f>J19/J7</f>
        <v>0.37333333333333335</v>
      </c>
    </row>
    <row r="20" spans="1:16" x14ac:dyDescent="0.3">
      <c r="A20" t="s">
        <v>44</v>
      </c>
      <c r="B20">
        <v>4</v>
      </c>
      <c r="E20">
        <v>2</v>
      </c>
      <c r="F20" t="s">
        <v>106</v>
      </c>
      <c r="I20" s="2">
        <v>2</v>
      </c>
      <c r="J20">
        <f>COUNTIF(E:E,2)</f>
        <v>27</v>
      </c>
      <c r="K20" s="3">
        <f>J20/J7</f>
        <v>0.36</v>
      </c>
      <c r="N20" t="s">
        <v>155</v>
      </c>
      <c r="O20">
        <f>COUNTIF(G:G,"negatív")</f>
        <v>2</v>
      </c>
      <c r="P20" s="3">
        <f>O20/J7</f>
        <v>2.6666666666666668E-2</v>
      </c>
    </row>
    <row r="21" spans="1:16" x14ac:dyDescent="0.3">
      <c r="A21" t="s">
        <v>48</v>
      </c>
      <c r="B21">
        <v>3</v>
      </c>
      <c r="E21">
        <v>1</v>
      </c>
      <c r="F21" t="s">
        <v>108</v>
      </c>
      <c r="I21" s="2">
        <v>3</v>
      </c>
      <c r="J21">
        <f>COUNTIF(E:E,3)</f>
        <v>20</v>
      </c>
      <c r="K21" s="3">
        <f>J21/J7</f>
        <v>0.26666666666666666</v>
      </c>
    </row>
    <row r="22" spans="1:16" x14ac:dyDescent="0.3">
      <c r="A22" t="s">
        <v>46</v>
      </c>
      <c r="B22">
        <v>3</v>
      </c>
      <c r="E22">
        <v>1</v>
      </c>
      <c r="F22" t="s">
        <v>99</v>
      </c>
    </row>
    <row r="23" spans="1:16" x14ac:dyDescent="0.3">
      <c r="A23" t="s">
        <v>66</v>
      </c>
      <c r="B23">
        <v>3</v>
      </c>
      <c r="E23">
        <v>3</v>
      </c>
      <c r="F23" t="s">
        <v>124</v>
      </c>
    </row>
    <row r="24" spans="1:16" x14ac:dyDescent="0.3">
      <c r="A24" t="s">
        <v>53</v>
      </c>
      <c r="B24">
        <v>3</v>
      </c>
      <c r="E24">
        <v>1</v>
      </c>
      <c r="F24" t="s">
        <v>100</v>
      </c>
    </row>
    <row r="25" spans="1:16" x14ac:dyDescent="0.3">
      <c r="A25" t="s">
        <v>41</v>
      </c>
      <c r="B25">
        <v>3</v>
      </c>
      <c r="E25">
        <v>1</v>
      </c>
      <c r="F25" t="s">
        <v>108</v>
      </c>
    </row>
    <row r="26" spans="1:16" x14ac:dyDescent="0.3">
      <c r="A26" t="s">
        <v>27</v>
      </c>
      <c r="B26">
        <v>3</v>
      </c>
      <c r="E26">
        <v>1</v>
      </c>
      <c r="F26" t="s">
        <v>99</v>
      </c>
    </row>
    <row r="27" spans="1:16" x14ac:dyDescent="0.3">
      <c r="A27" t="s">
        <v>55</v>
      </c>
      <c r="B27">
        <v>3</v>
      </c>
      <c r="E27">
        <v>2</v>
      </c>
      <c r="F27" t="s">
        <v>106</v>
      </c>
    </row>
    <row r="28" spans="1:16" x14ac:dyDescent="0.3">
      <c r="A28" t="s">
        <v>5</v>
      </c>
      <c r="B28">
        <v>3</v>
      </c>
      <c r="C28" t="s">
        <v>80</v>
      </c>
      <c r="D28" t="s">
        <v>84</v>
      </c>
    </row>
    <row r="29" spans="1:16" x14ac:dyDescent="0.3">
      <c r="A29" t="s">
        <v>36</v>
      </c>
      <c r="B29">
        <v>3</v>
      </c>
      <c r="E29">
        <v>2</v>
      </c>
      <c r="F29" t="s">
        <v>106</v>
      </c>
    </row>
    <row r="30" spans="1:16" x14ac:dyDescent="0.3">
      <c r="A30" t="s">
        <v>127</v>
      </c>
      <c r="B30">
        <v>2</v>
      </c>
      <c r="E30">
        <v>1</v>
      </c>
      <c r="F30" t="s">
        <v>104</v>
      </c>
    </row>
    <row r="31" spans="1:16" x14ac:dyDescent="0.3">
      <c r="A31" t="s">
        <v>128</v>
      </c>
      <c r="B31">
        <v>2</v>
      </c>
      <c r="C31" t="s">
        <v>80</v>
      </c>
      <c r="D31" t="s">
        <v>85</v>
      </c>
    </row>
    <row r="32" spans="1:16" x14ac:dyDescent="0.3">
      <c r="A32" t="s">
        <v>37</v>
      </c>
      <c r="B32">
        <v>2</v>
      </c>
      <c r="E32">
        <v>2</v>
      </c>
      <c r="F32" t="s">
        <v>106</v>
      </c>
    </row>
    <row r="33" spans="1:6" x14ac:dyDescent="0.3">
      <c r="A33" t="s">
        <v>3</v>
      </c>
      <c r="B33">
        <v>2</v>
      </c>
      <c r="C33" t="s">
        <v>80</v>
      </c>
      <c r="D33" t="s">
        <v>84</v>
      </c>
    </row>
    <row r="34" spans="1:6" x14ac:dyDescent="0.3">
      <c r="A34" t="s">
        <v>54</v>
      </c>
      <c r="B34">
        <v>2</v>
      </c>
      <c r="E34">
        <v>2</v>
      </c>
      <c r="F34" t="s">
        <v>106</v>
      </c>
    </row>
    <row r="35" spans="1:6" x14ac:dyDescent="0.3">
      <c r="A35" t="s">
        <v>35</v>
      </c>
      <c r="B35">
        <v>2</v>
      </c>
      <c r="E35">
        <v>2</v>
      </c>
      <c r="F35" t="s">
        <v>106</v>
      </c>
    </row>
    <row r="36" spans="1:6" x14ac:dyDescent="0.3">
      <c r="A36" t="s">
        <v>31</v>
      </c>
      <c r="B36">
        <v>2</v>
      </c>
      <c r="E36">
        <v>3</v>
      </c>
      <c r="F36" t="s">
        <v>105</v>
      </c>
    </row>
    <row r="37" spans="1:6" x14ac:dyDescent="0.3">
      <c r="A37" t="s">
        <v>129</v>
      </c>
      <c r="B37">
        <v>2</v>
      </c>
      <c r="E37">
        <v>3</v>
      </c>
      <c r="F37" t="s">
        <v>102</v>
      </c>
    </row>
    <row r="38" spans="1:6" x14ac:dyDescent="0.3">
      <c r="A38" t="s">
        <v>33</v>
      </c>
      <c r="B38">
        <v>2</v>
      </c>
      <c r="C38" t="s">
        <v>80</v>
      </c>
      <c r="D38" t="s">
        <v>83</v>
      </c>
    </row>
    <row r="39" spans="1:6" x14ac:dyDescent="0.3">
      <c r="A39" t="s">
        <v>10</v>
      </c>
      <c r="B39">
        <v>2</v>
      </c>
      <c r="E39">
        <v>1</v>
      </c>
      <c r="F39" t="s">
        <v>100</v>
      </c>
    </row>
    <row r="40" spans="1:6" x14ac:dyDescent="0.3">
      <c r="A40" t="s">
        <v>130</v>
      </c>
      <c r="B40">
        <v>2</v>
      </c>
      <c r="E40">
        <v>1</v>
      </c>
      <c r="F40" t="s">
        <v>104</v>
      </c>
    </row>
    <row r="41" spans="1:6" x14ac:dyDescent="0.3">
      <c r="A41" t="s">
        <v>131</v>
      </c>
      <c r="B41">
        <v>1</v>
      </c>
      <c r="E41">
        <v>3</v>
      </c>
      <c r="F41" t="s">
        <v>102</v>
      </c>
    </row>
    <row r="42" spans="1:6" x14ac:dyDescent="0.3">
      <c r="A42" t="s">
        <v>19</v>
      </c>
      <c r="B42">
        <v>1</v>
      </c>
      <c r="C42" t="s">
        <v>80</v>
      </c>
      <c r="D42" t="s">
        <v>85</v>
      </c>
    </row>
    <row r="43" spans="1:6" x14ac:dyDescent="0.3">
      <c r="A43" t="s">
        <v>76</v>
      </c>
      <c r="B43">
        <v>1</v>
      </c>
      <c r="E43">
        <v>1</v>
      </c>
      <c r="F43" t="s">
        <v>99</v>
      </c>
    </row>
    <row r="44" spans="1:6" x14ac:dyDescent="0.3">
      <c r="A44" t="s">
        <v>24</v>
      </c>
      <c r="B44">
        <v>1</v>
      </c>
      <c r="E44">
        <v>3</v>
      </c>
      <c r="F44" t="s">
        <v>105</v>
      </c>
    </row>
    <row r="45" spans="1:6" x14ac:dyDescent="0.3">
      <c r="A45" t="s">
        <v>132</v>
      </c>
      <c r="B45">
        <v>1</v>
      </c>
      <c r="E45">
        <v>1</v>
      </c>
      <c r="F45" t="s">
        <v>103</v>
      </c>
    </row>
    <row r="46" spans="1:6" x14ac:dyDescent="0.3">
      <c r="A46" t="s">
        <v>9</v>
      </c>
      <c r="B46">
        <v>1</v>
      </c>
      <c r="C46" t="s">
        <v>80</v>
      </c>
      <c r="D46" t="s">
        <v>83</v>
      </c>
    </row>
    <row r="47" spans="1:6" x14ac:dyDescent="0.3">
      <c r="A47" t="s">
        <v>133</v>
      </c>
      <c r="B47">
        <v>1</v>
      </c>
      <c r="C47" t="s">
        <v>80</v>
      </c>
      <c r="D47" t="s">
        <v>85</v>
      </c>
    </row>
    <row r="48" spans="1:6" x14ac:dyDescent="0.3">
      <c r="A48" t="s">
        <v>69</v>
      </c>
      <c r="B48">
        <v>1</v>
      </c>
      <c r="E48">
        <v>3</v>
      </c>
      <c r="F48" t="s">
        <v>101</v>
      </c>
    </row>
    <row r="49" spans="1:6" x14ac:dyDescent="0.3">
      <c r="A49" t="s">
        <v>17</v>
      </c>
      <c r="B49">
        <v>1</v>
      </c>
      <c r="E49">
        <v>3</v>
      </c>
      <c r="F49" t="s">
        <v>105</v>
      </c>
    </row>
    <row r="50" spans="1:6" x14ac:dyDescent="0.3">
      <c r="A50" t="s">
        <v>34</v>
      </c>
      <c r="B50">
        <v>1</v>
      </c>
      <c r="E50">
        <v>2</v>
      </c>
      <c r="F50" t="s">
        <v>107</v>
      </c>
    </row>
    <row r="51" spans="1:6" x14ac:dyDescent="0.3">
      <c r="A51" t="s">
        <v>52</v>
      </c>
      <c r="B51">
        <v>1</v>
      </c>
      <c r="E51">
        <v>2</v>
      </c>
      <c r="F51" t="s">
        <v>106</v>
      </c>
    </row>
    <row r="52" spans="1:6" x14ac:dyDescent="0.3">
      <c r="A52" t="s">
        <v>134</v>
      </c>
      <c r="B52">
        <v>1</v>
      </c>
      <c r="C52" t="s">
        <v>80</v>
      </c>
      <c r="D52" t="s">
        <v>83</v>
      </c>
    </row>
    <row r="53" spans="1:6" x14ac:dyDescent="0.3">
      <c r="A53" t="s">
        <v>26</v>
      </c>
      <c r="B53">
        <v>1</v>
      </c>
      <c r="C53" t="s">
        <v>80</v>
      </c>
      <c r="D53" t="s">
        <v>85</v>
      </c>
    </row>
    <row r="54" spans="1:6" x14ac:dyDescent="0.3">
      <c r="A54" t="s">
        <v>70</v>
      </c>
      <c r="B54">
        <v>1</v>
      </c>
      <c r="E54">
        <v>2</v>
      </c>
      <c r="F54" t="s">
        <v>101</v>
      </c>
    </row>
    <row r="55" spans="1:6" x14ac:dyDescent="0.3">
      <c r="A55" t="s">
        <v>135</v>
      </c>
      <c r="B55">
        <v>1</v>
      </c>
      <c r="E55">
        <v>1</v>
      </c>
      <c r="F55" t="s">
        <v>104</v>
      </c>
    </row>
    <row r="56" spans="1:6" x14ac:dyDescent="0.3">
      <c r="A56" t="s">
        <v>25</v>
      </c>
      <c r="B56">
        <v>1</v>
      </c>
      <c r="C56" t="s">
        <v>80</v>
      </c>
      <c r="D56" t="s">
        <v>84</v>
      </c>
    </row>
    <row r="57" spans="1:6" x14ac:dyDescent="0.3">
      <c r="A57" t="s">
        <v>65</v>
      </c>
      <c r="B57">
        <v>1</v>
      </c>
      <c r="E57">
        <v>2</v>
      </c>
      <c r="F57" t="s">
        <v>123</v>
      </c>
    </row>
    <row r="58" spans="1:6" x14ac:dyDescent="0.3">
      <c r="A58" t="s">
        <v>0</v>
      </c>
      <c r="B58">
        <v>1</v>
      </c>
      <c r="C58" t="s">
        <v>80</v>
      </c>
      <c r="D58" t="s">
        <v>84</v>
      </c>
    </row>
    <row r="59" spans="1:6" x14ac:dyDescent="0.3">
      <c r="A59" t="s">
        <v>1</v>
      </c>
      <c r="B59">
        <v>1</v>
      </c>
      <c r="C59" t="s">
        <v>80</v>
      </c>
      <c r="D59" t="s">
        <v>84</v>
      </c>
    </row>
    <row r="60" spans="1:6" x14ac:dyDescent="0.3">
      <c r="A60" t="s">
        <v>136</v>
      </c>
      <c r="B60">
        <v>1</v>
      </c>
      <c r="C60" t="s">
        <v>80</v>
      </c>
      <c r="D60" t="s">
        <v>85</v>
      </c>
    </row>
    <row r="61" spans="1:6" x14ac:dyDescent="0.3">
      <c r="A61" t="s">
        <v>72</v>
      </c>
      <c r="B61">
        <v>1</v>
      </c>
      <c r="E61">
        <v>2</v>
      </c>
      <c r="F61" t="s">
        <v>106</v>
      </c>
    </row>
    <row r="62" spans="1:6" x14ac:dyDescent="0.3">
      <c r="A62" t="s">
        <v>137</v>
      </c>
      <c r="B62">
        <v>1</v>
      </c>
      <c r="E62">
        <v>1</v>
      </c>
      <c r="F62" t="s">
        <v>104</v>
      </c>
    </row>
    <row r="63" spans="1:6" x14ac:dyDescent="0.3">
      <c r="A63" t="s">
        <v>58</v>
      </c>
      <c r="B63">
        <v>1</v>
      </c>
      <c r="E63">
        <v>3</v>
      </c>
      <c r="F63" t="s">
        <v>101</v>
      </c>
    </row>
    <row r="64" spans="1:6" x14ac:dyDescent="0.3">
      <c r="A64" t="s">
        <v>138</v>
      </c>
      <c r="B64">
        <v>1</v>
      </c>
      <c r="E64">
        <v>1</v>
      </c>
      <c r="F64" t="s">
        <v>103</v>
      </c>
    </row>
    <row r="65" spans="1:7" x14ac:dyDescent="0.3">
      <c r="A65" t="s">
        <v>78</v>
      </c>
      <c r="B65">
        <v>1</v>
      </c>
      <c r="E65">
        <v>2</v>
      </c>
      <c r="F65" t="s">
        <v>123</v>
      </c>
    </row>
    <row r="66" spans="1:7" x14ac:dyDescent="0.3">
      <c r="A66" t="s">
        <v>77</v>
      </c>
      <c r="B66">
        <v>1</v>
      </c>
      <c r="E66">
        <v>1</v>
      </c>
      <c r="F66" t="s">
        <v>99</v>
      </c>
    </row>
    <row r="67" spans="1:7" x14ac:dyDescent="0.3">
      <c r="A67" t="s">
        <v>59</v>
      </c>
      <c r="B67">
        <v>1</v>
      </c>
      <c r="E67">
        <v>2</v>
      </c>
      <c r="F67" t="s">
        <v>106</v>
      </c>
      <c r="G67" t="s">
        <v>154</v>
      </c>
    </row>
    <row r="68" spans="1:7" x14ac:dyDescent="0.3">
      <c r="A68" t="s">
        <v>43</v>
      </c>
      <c r="B68">
        <v>1</v>
      </c>
      <c r="E68">
        <v>2</v>
      </c>
      <c r="F68" t="s">
        <v>106</v>
      </c>
    </row>
    <row r="69" spans="1:7" x14ac:dyDescent="0.3">
      <c r="A69" t="s">
        <v>57</v>
      </c>
      <c r="B69">
        <v>1</v>
      </c>
      <c r="E69">
        <v>1</v>
      </c>
      <c r="F69" t="s">
        <v>99</v>
      </c>
    </row>
    <row r="70" spans="1:7" x14ac:dyDescent="0.3">
      <c r="A70" t="s">
        <v>21</v>
      </c>
      <c r="B70">
        <v>1</v>
      </c>
      <c r="E70">
        <v>3</v>
      </c>
      <c r="F70" t="s">
        <v>101</v>
      </c>
    </row>
    <row r="71" spans="1:7" x14ac:dyDescent="0.3">
      <c r="A71" t="s">
        <v>56</v>
      </c>
      <c r="B71">
        <v>1</v>
      </c>
      <c r="E71">
        <v>1</v>
      </c>
      <c r="F71" t="s">
        <v>99</v>
      </c>
    </row>
    <row r="72" spans="1:7" x14ac:dyDescent="0.3">
      <c r="A72" t="s">
        <v>139</v>
      </c>
      <c r="B72">
        <v>1</v>
      </c>
      <c r="E72">
        <v>1</v>
      </c>
      <c r="F72" t="s">
        <v>108</v>
      </c>
    </row>
    <row r="73" spans="1:7" x14ac:dyDescent="0.3">
      <c r="A73" t="s">
        <v>63</v>
      </c>
      <c r="B73">
        <v>1</v>
      </c>
      <c r="E73">
        <v>2</v>
      </c>
      <c r="F73" t="s">
        <v>106</v>
      </c>
    </row>
    <row r="74" spans="1:7" x14ac:dyDescent="0.3">
      <c r="A74" t="s">
        <v>42</v>
      </c>
      <c r="B74">
        <v>1</v>
      </c>
      <c r="E74">
        <v>2</v>
      </c>
      <c r="F74" t="s">
        <v>106</v>
      </c>
    </row>
    <row r="75" spans="1:7" x14ac:dyDescent="0.3">
      <c r="A75" t="s">
        <v>47</v>
      </c>
      <c r="B75">
        <v>1</v>
      </c>
      <c r="E75">
        <v>3</v>
      </c>
      <c r="F75" t="s">
        <v>102</v>
      </c>
    </row>
    <row r="76" spans="1:7" x14ac:dyDescent="0.3">
      <c r="A76" t="s">
        <v>71</v>
      </c>
      <c r="B76">
        <v>1</v>
      </c>
      <c r="E76">
        <v>2</v>
      </c>
      <c r="F76" t="s">
        <v>106</v>
      </c>
    </row>
    <row r="77" spans="1:7" x14ac:dyDescent="0.3">
      <c r="A77" t="s">
        <v>28</v>
      </c>
      <c r="B77">
        <v>1</v>
      </c>
      <c r="C77" t="s">
        <v>80</v>
      </c>
      <c r="D77" t="s">
        <v>85</v>
      </c>
    </row>
    <row r="78" spans="1:7" x14ac:dyDescent="0.3">
      <c r="A78" t="s">
        <v>18</v>
      </c>
      <c r="B78">
        <v>1</v>
      </c>
      <c r="E78">
        <v>1</v>
      </c>
      <c r="F78" t="s">
        <v>104</v>
      </c>
    </row>
    <row r="79" spans="1:7" x14ac:dyDescent="0.3">
      <c r="A79" t="s">
        <v>73</v>
      </c>
      <c r="B79">
        <v>1</v>
      </c>
      <c r="E79">
        <v>2</v>
      </c>
      <c r="F79" t="s">
        <v>106</v>
      </c>
    </row>
    <row r="80" spans="1:7" x14ac:dyDescent="0.3">
      <c r="A80" t="s">
        <v>23</v>
      </c>
      <c r="B80">
        <v>1</v>
      </c>
      <c r="C80" t="s">
        <v>80</v>
      </c>
      <c r="D80" t="s">
        <v>83</v>
      </c>
    </row>
    <row r="81" spans="1:6" x14ac:dyDescent="0.3">
      <c r="A81" t="s">
        <v>61</v>
      </c>
      <c r="B81">
        <v>1</v>
      </c>
      <c r="C81" t="s">
        <v>80</v>
      </c>
      <c r="D81" t="s">
        <v>83</v>
      </c>
    </row>
    <row r="82" spans="1:6" x14ac:dyDescent="0.3">
      <c r="A82" t="s">
        <v>140</v>
      </c>
      <c r="B82">
        <v>1</v>
      </c>
      <c r="E82">
        <v>3</v>
      </c>
      <c r="F82" t="s">
        <v>105</v>
      </c>
    </row>
    <row r="83" spans="1:6" x14ac:dyDescent="0.3">
      <c r="A83" t="s">
        <v>79</v>
      </c>
      <c r="B83">
        <v>1</v>
      </c>
      <c r="E83">
        <v>2</v>
      </c>
      <c r="F83" t="s">
        <v>106</v>
      </c>
    </row>
    <row r="84" spans="1:6" x14ac:dyDescent="0.3">
      <c r="A84" t="s">
        <v>15</v>
      </c>
      <c r="B84">
        <v>1</v>
      </c>
      <c r="E84">
        <v>3</v>
      </c>
      <c r="F84" t="s">
        <v>105</v>
      </c>
    </row>
    <row r="85" spans="1:6" x14ac:dyDescent="0.3">
      <c r="A85" t="s">
        <v>20</v>
      </c>
      <c r="B85">
        <v>1</v>
      </c>
      <c r="C85" t="s">
        <v>80</v>
      </c>
      <c r="D85" t="s">
        <v>83</v>
      </c>
    </row>
    <row r="86" spans="1:6" x14ac:dyDescent="0.3">
      <c r="A86" t="s">
        <v>141</v>
      </c>
      <c r="B86">
        <v>1</v>
      </c>
      <c r="C86" t="s">
        <v>80</v>
      </c>
      <c r="D86" t="s">
        <v>84</v>
      </c>
    </row>
    <row r="87" spans="1:6" x14ac:dyDescent="0.3">
      <c r="A87" t="s">
        <v>142</v>
      </c>
      <c r="B87">
        <v>1</v>
      </c>
      <c r="E87">
        <v>1</v>
      </c>
      <c r="F87" t="s">
        <v>99</v>
      </c>
    </row>
    <row r="88" spans="1:6" x14ac:dyDescent="0.3">
      <c r="A88" t="s">
        <v>143</v>
      </c>
      <c r="B88">
        <v>1</v>
      </c>
      <c r="C88" t="s">
        <v>80</v>
      </c>
      <c r="D88" t="s">
        <v>85</v>
      </c>
    </row>
    <row r="89" spans="1:6" x14ac:dyDescent="0.3">
      <c r="A89" t="s">
        <v>7</v>
      </c>
      <c r="B89">
        <v>1</v>
      </c>
      <c r="C89" t="s">
        <v>80</v>
      </c>
      <c r="D89" t="s">
        <v>90</v>
      </c>
    </row>
    <row r="90" spans="1:6" x14ac:dyDescent="0.3">
      <c r="A90" t="s">
        <v>144</v>
      </c>
      <c r="B90">
        <v>1</v>
      </c>
      <c r="E90">
        <v>2</v>
      </c>
      <c r="F90" t="s">
        <v>106</v>
      </c>
    </row>
    <row r="91" spans="1:6" x14ac:dyDescent="0.3">
      <c r="A91" t="s">
        <v>67</v>
      </c>
      <c r="B91">
        <v>1</v>
      </c>
      <c r="E91">
        <v>2</v>
      </c>
      <c r="F91" t="s">
        <v>106</v>
      </c>
    </row>
    <row r="92" spans="1:6" x14ac:dyDescent="0.3">
      <c r="A92" t="s">
        <v>145</v>
      </c>
      <c r="B92">
        <v>1</v>
      </c>
      <c r="C92" t="s">
        <v>80</v>
      </c>
      <c r="D92" t="s">
        <v>85</v>
      </c>
    </row>
    <row r="93" spans="1:6" x14ac:dyDescent="0.3">
      <c r="A93" t="s">
        <v>146</v>
      </c>
      <c r="B93">
        <v>1</v>
      </c>
      <c r="E93">
        <v>1</v>
      </c>
      <c r="F93" t="s">
        <v>103</v>
      </c>
    </row>
    <row r="94" spans="1:6" x14ac:dyDescent="0.3">
      <c r="A94" t="s">
        <v>51</v>
      </c>
      <c r="B94">
        <v>1</v>
      </c>
      <c r="C94" t="s">
        <v>80</v>
      </c>
      <c r="D94" t="s">
        <v>83</v>
      </c>
    </row>
    <row r="95" spans="1:6" x14ac:dyDescent="0.3">
      <c r="A95" t="s">
        <v>68</v>
      </c>
      <c r="B95">
        <v>1</v>
      </c>
      <c r="E95">
        <v>3</v>
      </c>
      <c r="F95" t="s">
        <v>101</v>
      </c>
    </row>
    <row r="96" spans="1:6" x14ac:dyDescent="0.3">
      <c r="A96" t="s">
        <v>74</v>
      </c>
      <c r="B96">
        <v>1</v>
      </c>
      <c r="E96">
        <v>1</v>
      </c>
      <c r="F96" t="s">
        <v>99</v>
      </c>
    </row>
    <row r="97" spans="1:7" x14ac:dyDescent="0.3">
      <c r="A97" t="s">
        <v>64</v>
      </c>
      <c r="B97">
        <v>1</v>
      </c>
      <c r="E97">
        <v>2</v>
      </c>
      <c r="F97" t="s">
        <v>106</v>
      </c>
      <c r="G97" t="s">
        <v>154</v>
      </c>
    </row>
    <row r="98" spans="1:7" x14ac:dyDescent="0.3">
      <c r="A98" t="s">
        <v>4</v>
      </c>
      <c r="B98">
        <v>1</v>
      </c>
      <c r="C98" t="s">
        <v>80</v>
      </c>
      <c r="D98" t="s">
        <v>83</v>
      </c>
    </row>
    <row r="99" spans="1:7" x14ac:dyDescent="0.3">
      <c r="A99" t="s">
        <v>147</v>
      </c>
      <c r="B99">
        <v>1</v>
      </c>
      <c r="E99">
        <v>1</v>
      </c>
      <c r="F99" t="s">
        <v>99</v>
      </c>
    </row>
    <row r="100" spans="1:7" x14ac:dyDescent="0.3">
      <c r="A100" t="s">
        <v>148</v>
      </c>
      <c r="B100">
        <v>1</v>
      </c>
      <c r="E100">
        <v>1</v>
      </c>
      <c r="F100" t="s">
        <v>108</v>
      </c>
    </row>
    <row r="101" spans="1:7" x14ac:dyDescent="0.3">
      <c r="A101" t="s">
        <v>149</v>
      </c>
      <c r="B101">
        <v>1</v>
      </c>
      <c r="E101">
        <v>1</v>
      </c>
      <c r="F101" t="s">
        <v>99</v>
      </c>
    </row>
    <row r="102" spans="1:7" x14ac:dyDescent="0.3">
      <c r="A102" t="s">
        <v>30</v>
      </c>
      <c r="B102">
        <v>1</v>
      </c>
      <c r="E102">
        <v>1</v>
      </c>
      <c r="F102" t="s">
        <v>100</v>
      </c>
    </row>
    <row r="103" spans="1:7" x14ac:dyDescent="0.3">
      <c r="A103" t="s">
        <v>49</v>
      </c>
      <c r="B103">
        <v>1</v>
      </c>
      <c r="C103" t="s">
        <v>80</v>
      </c>
      <c r="D103" t="s">
        <v>83</v>
      </c>
    </row>
    <row r="104" spans="1:7" x14ac:dyDescent="0.3">
      <c r="A104" t="s">
        <v>75</v>
      </c>
      <c r="B104">
        <v>1</v>
      </c>
      <c r="E104">
        <v>3</v>
      </c>
      <c r="F104" t="s">
        <v>124</v>
      </c>
    </row>
    <row r="105" spans="1:7" x14ac:dyDescent="0.3">
      <c r="A105" t="s">
        <v>150</v>
      </c>
      <c r="B105">
        <v>1</v>
      </c>
      <c r="E105">
        <v>2</v>
      </c>
      <c r="F105" t="s">
        <v>106</v>
      </c>
    </row>
    <row r="106" spans="1:7" x14ac:dyDescent="0.3">
      <c r="A106" t="s">
        <v>39</v>
      </c>
      <c r="B106">
        <v>1</v>
      </c>
      <c r="C106" t="s">
        <v>80</v>
      </c>
      <c r="D106" t="s">
        <v>84</v>
      </c>
    </row>
    <row r="107" spans="1:7" x14ac:dyDescent="0.3">
      <c r="A107" t="s">
        <v>29</v>
      </c>
      <c r="B107">
        <v>1</v>
      </c>
      <c r="E107">
        <v>1</v>
      </c>
      <c r="F107" t="s">
        <v>99</v>
      </c>
    </row>
    <row r="108" spans="1:7" x14ac:dyDescent="0.3">
      <c r="A108" t="s">
        <v>60</v>
      </c>
      <c r="B108">
        <v>1</v>
      </c>
      <c r="E108">
        <v>3</v>
      </c>
      <c r="F108" t="s">
        <v>105</v>
      </c>
    </row>
    <row r="109" spans="1:7" x14ac:dyDescent="0.3">
      <c r="A109" t="s">
        <v>151</v>
      </c>
      <c r="B109">
        <v>1</v>
      </c>
      <c r="E109">
        <v>1</v>
      </c>
      <c r="F109" t="s">
        <v>99</v>
      </c>
    </row>
  </sheetData>
  <pageMargins left="0.70866141732283472" right="0.70866141732283472" top="0.74803149606299213" bottom="0.74803149606299213" header="0.31496062992125984" footer="0.31496062992125984"/>
  <pageSetup paperSize="9" scale="36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 Keserű</dc:creator>
  <cp:lastModifiedBy>Rebeka Keserű</cp:lastModifiedBy>
  <cp:lastPrinted>2025-01-11T19:58:36Z</cp:lastPrinted>
  <dcterms:created xsi:type="dcterms:W3CDTF">2024-07-15T20:11:34Z</dcterms:created>
  <dcterms:modified xsi:type="dcterms:W3CDTF">2026-03-27T18:34:13Z</dcterms:modified>
</cp:coreProperties>
</file>